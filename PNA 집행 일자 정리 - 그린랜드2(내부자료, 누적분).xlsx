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vi\Downloads\"/>
    </mc:Choice>
  </mc:AlternateContent>
  <xr:revisionPtr revIDLastSave="0" documentId="13_ncr:1_{BAF5D050-9F7E-4B7E-B3E7-2AD2A5912D6E}" xr6:coauthVersionLast="47" xr6:coauthVersionMax="47" xr10:uidLastSave="{00000000-0000-0000-0000-000000000000}"/>
  <bookViews>
    <workbookView xWindow="-90" yWindow="0" windowWidth="19380" windowHeight="20970" xr2:uid="{0183D597-5DC5-4144-AA21-13B2D31FD73B}"/>
  </bookViews>
  <sheets>
    <sheet name="P&amp;A 집행 내역" sheetId="1" r:id="rId1"/>
  </sheets>
  <definedNames>
    <definedName name="_xlnm._FilterDatabase" localSheetId="0" hidden="1">'P&amp;A 집행 내역'!$A$1:$L$37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37" i="1" l="1"/>
  <c r="H37" i="1" s="1"/>
  <c r="G33" i="1"/>
  <c r="F33" i="1"/>
  <c r="H34" i="1"/>
  <c r="G28" i="1"/>
  <c r="H28" i="1" s="1"/>
  <c r="F39" i="1"/>
  <c r="H30" i="1"/>
  <c r="H29" i="1"/>
  <c r="G27" i="1"/>
  <c r="H27" i="1" s="1"/>
  <c r="G26" i="1"/>
  <c r="H26" i="1" s="1"/>
  <c r="G25" i="1"/>
  <c r="H25" i="1" s="1"/>
  <c r="G24" i="1"/>
  <c r="H24" i="1" s="1"/>
  <c r="G23" i="1"/>
  <c r="H23" i="1" s="1"/>
  <c r="H22" i="1"/>
  <c r="H21" i="1"/>
  <c r="H20" i="1"/>
  <c r="H19" i="1"/>
  <c r="H33" i="1" l="1"/>
  <c r="F36" i="1"/>
  <c r="H18" i="1"/>
  <c r="H17" i="1"/>
  <c r="H12" i="1"/>
  <c r="H13" i="1"/>
  <c r="H10" i="1"/>
  <c r="H11" i="1"/>
  <c r="G4" i="1" l="1"/>
  <c r="H4" i="1" s="1"/>
  <c r="H32" i="1"/>
  <c r="H31" i="1"/>
  <c r="H35" i="1"/>
  <c r="F41" i="1" l="1"/>
  <c r="H9" i="1" l="1"/>
  <c r="H8" i="1"/>
  <c r="H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tc={FD570396-54C7-46EC-9A08-7AA932992B69}</author>
    <author>tc={9463B880-09D4-4FD4-9D7A-145389B4866A}</author>
  </authors>
  <commentList>
    <comment ref="G4" authorId="0" shapeId="0" xr:uid="{FD570396-54C7-46EC-9A08-7AA932992B6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원천징수</t>
      </text>
    </comment>
    <comment ref="G23" authorId="1" shapeId="0" xr:uid="{9463B880-09D4-4FD4-9D7A-145389B4866A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원천징수</t>
      </text>
    </comment>
  </commentList>
</comments>
</file>

<file path=xl/sharedStrings.xml><?xml version="1.0" encoding="utf-8"?>
<sst xmlns="http://schemas.openxmlformats.org/spreadsheetml/2006/main" count="207" uniqueCount="83">
  <si>
    <t>항목</t>
    <phoneticPr fontId="3" type="noConversion"/>
  </si>
  <si>
    <t>지급처</t>
    <phoneticPr fontId="3" type="noConversion"/>
  </si>
  <si>
    <t>공급가액</t>
    <phoneticPr fontId="3" type="noConversion"/>
  </si>
  <si>
    <t>부가세</t>
    <phoneticPr fontId="3" type="noConversion"/>
  </si>
  <si>
    <t>합계 금액</t>
    <phoneticPr fontId="3" type="noConversion"/>
  </si>
  <si>
    <t>이노기획</t>
    <phoneticPr fontId="3" type="noConversion"/>
  </si>
  <si>
    <t>품의번호</t>
    <phoneticPr fontId="3" type="noConversion"/>
  </si>
  <si>
    <t>배급-2605-006</t>
    <phoneticPr fontId="3" type="noConversion"/>
  </si>
  <si>
    <t>차수</t>
    <phoneticPr fontId="3" type="noConversion"/>
  </si>
  <si>
    <t>집행일자</t>
    <phoneticPr fontId="3" type="noConversion"/>
  </si>
  <si>
    <t>지급방식</t>
    <phoneticPr fontId="3" type="noConversion"/>
  </si>
  <si>
    <t>송금</t>
    <phoneticPr fontId="3" type="noConversion"/>
  </si>
  <si>
    <t>웨이브랩</t>
    <phoneticPr fontId="3" type="noConversion"/>
  </si>
  <si>
    <t>CGV용산아이파크몰</t>
    <phoneticPr fontId="3" type="noConversion"/>
  </si>
  <si>
    <t>롯데컬처웍스㈜</t>
    <phoneticPr fontId="3" type="noConversion"/>
  </si>
  <si>
    <t>CJ CGV</t>
    <phoneticPr fontId="3" type="noConversion"/>
  </si>
  <si>
    <t>메가박스 중앙</t>
    <phoneticPr fontId="3" type="noConversion"/>
  </si>
  <si>
    <t>카드</t>
    <phoneticPr fontId="3" type="noConversion"/>
  </si>
  <si>
    <t>증빙</t>
    <phoneticPr fontId="3" type="noConversion"/>
  </si>
  <si>
    <t>세금계산서</t>
    <phoneticPr fontId="3" type="noConversion"/>
  </si>
  <si>
    <t>인보이스</t>
    <phoneticPr fontId="3" type="noConversion"/>
  </si>
  <si>
    <t>b. 매체광고 &gt; 온라인 광고 (쇼츠 제작비)</t>
    <phoneticPr fontId="3" type="noConversion"/>
  </si>
  <si>
    <t>c. 홍보/프로모션 &gt; 마케팅인건비</t>
    <phoneticPr fontId="3" type="noConversion"/>
  </si>
  <si>
    <t>c. 홍보/프로모션 &gt; 시사회</t>
    <phoneticPr fontId="3" type="noConversion"/>
  </si>
  <si>
    <t>c. 홍보/프로모션 &gt; 극장 프로모션</t>
    <phoneticPr fontId="3" type="noConversion"/>
  </si>
  <si>
    <t>c. 홍보/프로모션 &gt; GV</t>
    <phoneticPr fontId="3" type="noConversion"/>
  </si>
  <si>
    <t>모어사이언스</t>
    <phoneticPr fontId="3" type="noConversion"/>
  </si>
  <si>
    <t>캠(CAM)</t>
    <phoneticPr fontId="3" type="noConversion"/>
  </si>
  <si>
    <t>총 예산</t>
    <phoneticPr fontId="3" type="noConversion"/>
  </si>
  <si>
    <t>잔여 금액</t>
    <phoneticPr fontId="3" type="noConversion"/>
  </si>
  <si>
    <t>b. 매체광고 &gt; 극장 광고 &gt; CGV</t>
    <phoneticPr fontId="3" type="noConversion"/>
  </si>
  <si>
    <t>b. 매체광고 &gt; 극장 광고 &gt; 메가박스</t>
    <phoneticPr fontId="3" type="noConversion"/>
  </si>
  <si>
    <t>b. 매체광고 &gt; 극장 광고 &gt; 롯데시네마</t>
    <phoneticPr fontId="3" type="noConversion"/>
  </si>
  <si>
    <t xml:space="preserve"> 메가박스 중앙</t>
    <phoneticPr fontId="3" type="noConversion"/>
  </si>
  <si>
    <t>수령 여부</t>
    <phoneticPr fontId="3" type="noConversion"/>
  </si>
  <si>
    <t>O</t>
    <phoneticPr fontId="3" type="noConversion"/>
  </si>
  <si>
    <t>핑크맨무비(김은우)</t>
    <phoneticPr fontId="3" type="noConversion"/>
  </si>
  <si>
    <t>원천징수영수증</t>
    <phoneticPr fontId="3" type="noConversion"/>
  </si>
  <si>
    <t>배급-2606-006</t>
    <phoneticPr fontId="3" type="noConversion"/>
  </si>
  <si>
    <t>c. 홍보/프로모션 &gt; 예매권</t>
    <phoneticPr fontId="3" type="noConversion"/>
  </si>
  <si>
    <t>배급-2606-017</t>
    <phoneticPr fontId="3" type="noConversion"/>
  </si>
  <si>
    <t>배급-2606-016</t>
    <phoneticPr fontId="3" type="noConversion"/>
  </si>
  <si>
    <t>배급-2606-013</t>
    <phoneticPr fontId="3" type="noConversion"/>
  </si>
  <si>
    <t>배급-2606-014</t>
    <phoneticPr fontId="3" type="noConversion"/>
  </si>
  <si>
    <t>배급-2606-005</t>
    <phoneticPr fontId="3" type="noConversion"/>
  </si>
  <si>
    <t>a. 광고/홍보물 제작 &gt; 디자인</t>
    <phoneticPr fontId="3" type="noConversion"/>
  </si>
  <si>
    <t>디자인 그리다</t>
    <phoneticPr fontId="3" type="noConversion"/>
  </si>
  <si>
    <t>픽셀웍스</t>
    <phoneticPr fontId="3" type="noConversion"/>
  </si>
  <si>
    <t>a. 광고/홍보물 제작 &gt; 영상</t>
    <phoneticPr fontId="3" type="noConversion"/>
  </si>
  <si>
    <t>c. 마케팅 인건비 &gt; 온라인 마케팅</t>
    <phoneticPr fontId="3" type="noConversion"/>
  </si>
  <si>
    <t>하이라이트</t>
    <phoneticPr fontId="3" type="noConversion"/>
  </si>
  <si>
    <t>배급-2606-023</t>
    <phoneticPr fontId="3" type="noConversion"/>
  </si>
  <si>
    <t>배급-2606-024</t>
    <phoneticPr fontId="3" type="noConversion"/>
  </si>
  <si>
    <t>배급-2606-031</t>
    <phoneticPr fontId="3" type="noConversion"/>
  </si>
  <si>
    <t>배급-2606-028</t>
    <phoneticPr fontId="3" type="noConversion"/>
  </si>
  <si>
    <t>다보</t>
    <phoneticPr fontId="3" type="noConversion"/>
  </si>
  <si>
    <t>배급-2607-006</t>
    <phoneticPr fontId="3" type="noConversion"/>
  </si>
  <si>
    <t>a. 광고/홍보물 제작 &gt; 인쇄비</t>
    <phoneticPr fontId="3" type="noConversion"/>
  </si>
  <si>
    <t>c. 홍보/프로모션 &gt; 6. 시사회 - 프리미어(GV)</t>
    <phoneticPr fontId="3" type="noConversion"/>
  </si>
  <si>
    <t>배급-2607-004</t>
    <phoneticPr fontId="3" type="noConversion"/>
  </si>
  <si>
    <t>롯데시네마 월드타워</t>
    <phoneticPr fontId="3" type="noConversion"/>
  </si>
  <si>
    <t>영수증</t>
    <phoneticPr fontId="3" type="noConversion"/>
  </si>
  <si>
    <t>즐거운인생</t>
    <phoneticPr fontId="3" type="noConversion"/>
  </si>
  <si>
    <t>b. 매체광고 &gt; 옥외 광고 &gt; 지하철</t>
    <phoneticPr fontId="3" type="noConversion"/>
  </si>
  <si>
    <t>b. 매체광고 &gt; 온라인 광고 &gt; 퍼포먼스/부킹형</t>
    <phoneticPr fontId="3" type="noConversion"/>
  </si>
  <si>
    <t>A &gt; c. 배급 &gt; 지방선재 발송</t>
    <phoneticPr fontId="3" type="noConversion"/>
  </si>
  <si>
    <t>아이랩</t>
    <phoneticPr fontId="3" type="noConversion"/>
  </si>
  <si>
    <t>A &gt; c. 배급 &gt; 입회비</t>
    <phoneticPr fontId="3" type="noConversion"/>
  </si>
  <si>
    <t>노바엔터</t>
    <phoneticPr fontId="3" type="noConversion"/>
  </si>
  <si>
    <t>합계</t>
    <phoneticPr fontId="3" type="noConversion"/>
  </si>
  <si>
    <t>c. 마케팅 인건비 &gt; 온라인 마케팅(진행비</t>
    <phoneticPr fontId="3" type="noConversion"/>
  </si>
  <si>
    <t>배급-2607-011</t>
    <phoneticPr fontId="3" type="noConversion"/>
  </si>
  <si>
    <t>b. 매체광고 &gt; 온라인 광고 (인스타그램 매거진)</t>
    <phoneticPr fontId="3" type="noConversion"/>
  </si>
  <si>
    <t>망고무비(조현준)</t>
    <phoneticPr fontId="3" type="noConversion"/>
  </si>
  <si>
    <t>무비데이(김민재)</t>
    <phoneticPr fontId="3" type="noConversion"/>
  </si>
  <si>
    <t>무비토리(박현수)</t>
    <phoneticPr fontId="3" type="noConversion"/>
  </si>
  <si>
    <t>애프터씬(신민수)</t>
    <phoneticPr fontId="3" type="noConversion"/>
  </si>
  <si>
    <t>영화바구나(박지희)</t>
    <phoneticPr fontId="3" type="noConversion"/>
  </si>
  <si>
    <t>와이쏘(하나비)</t>
    <phoneticPr fontId="3" type="noConversion"/>
  </si>
  <si>
    <t>컬러즈(서형우)</t>
    <phoneticPr fontId="3" type="noConversion"/>
  </si>
  <si>
    <t>영화볼결심(디시전컬렉티브)</t>
    <phoneticPr fontId="3" type="noConversion"/>
  </si>
  <si>
    <t>배급-2607-012</t>
    <phoneticPr fontId="3" type="noConversion"/>
  </si>
  <si>
    <t>키노라이츠로 발행 금액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</si>
</sst>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0061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9C0006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</cellStyleXfs>
  <cellXfs count="170">
    <xf numFmtId="0" fontId="0" fillId="0" borderId="0" xfId="0">
      <alignment vertical="center"/>
    </xf>
    <xf numFmtId="0" fontId="5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1" applyFont="1" applyBorder="1">
      <alignment vertical="center"/>
    </xf>
    <xf numFmtId="14" fontId="0" fillId="0" borderId="1" xfId="0" applyNumberFormat="1" applyBorder="1" applyAlignment="1">
      <alignment horizontal="center" vertical="center"/>
    </xf>
    <xf numFmtId="0" fontId="4" fillId="2" borderId="2" xfId="2" applyFont="1" applyBorder="1" applyAlignment="1">
      <alignment horizontal="center" vertical="center"/>
    </xf>
    <xf numFmtId="41" fontId="0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1" fontId="0" fillId="0" borderId="0" xfId="0" applyNumberFormat="1">
      <alignment vertical="center"/>
    </xf>
    <xf numFmtId="0" fontId="0" fillId="0" borderId="7" xfId="0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41" fontId="8" fillId="0" borderId="1" xfId="1" applyFont="1" applyBorder="1">
      <alignment vertical="center"/>
    </xf>
    <xf numFmtId="14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41" fontId="0" fillId="0" borderId="17" xfId="1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3" borderId="4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41" fontId="0" fillId="3" borderId="4" xfId="1" applyFont="1" applyFill="1" applyBorder="1">
      <alignment vertical="center"/>
    </xf>
    <xf numFmtId="41" fontId="0" fillId="3" borderId="4" xfId="1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1" fontId="0" fillId="3" borderId="1" xfId="1" applyFont="1" applyFill="1" applyBorder="1">
      <alignment vertical="center"/>
    </xf>
    <xf numFmtId="41" fontId="0" fillId="3" borderId="1" xfId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14" fontId="0" fillId="3" borderId="9" xfId="0" applyNumberForma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41" fontId="0" fillId="3" borderId="9" xfId="1" applyFont="1" applyFill="1" applyBorder="1">
      <alignment vertical="center"/>
    </xf>
    <xf numFmtId="41" fontId="0" fillId="3" borderId="9" xfId="1" applyFont="1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14" fontId="0" fillId="3" borderId="21" xfId="0" applyNumberFormat="1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41" fontId="0" fillId="3" borderId="21" xfId="1" applyFont="1" applyFill="1" applyBorder="1">
      <alignment vertical="center"/>
    </xf>
    <xf numFmtId="41" fontId="0" fillId="3" borderId="21" xfId="1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4" fontId="0" fillId="3" borderId="13" xfId="0" applyNumberForma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41" fontId="0" fillId="3" borderId="13" xfId="1" applyFont="1" applyFill="1" applyBorder="1">
      <alignment vertical="center"/>
    </xf>
    <xf numFmtId="41" fontId="0" fillId="3" borderId="13" xfId="1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2" xfId="1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41" fontId="0" fillId="0" borderId="26" xfId="0" applyNumberFormat="1" applyBorder="1">
      <alignment vertical="center"/>
    </xf>
    <xf numFmtId="0" fontId="4" fillId="2" borderId="27" xfId="2" applyFont="1" applyBorder="1" applyAlignment="1">
      <alignment horizontal="center" vertical="center"/>
    </xf>
    <xf numFmtId="0" fontId="0" fillId="3" borderId="29" xfId="0" applyFill="1" applyBorder="1">
      <alignment vertical="center"/>
    </xf>
    <xf numFmtId="0" fontId="0" fillId="3" borderId="30" xfId="0" applyFill="1" applyBorder="1">
      <alignment vertical="center"/>
    </xf>
    <xf numFmtId="0" fontId="0" fillId="3" borderId="31" xfId="0" applyFill="1" applyBorder="1">
      <alignment vertical="center"/>
    </xf>
    <xf numFmtId="0" fontId="0" fillId="3" borderId="32" xfId="0" applyFill="1" applyBorder="1">
      <alignment vertical="center"/>
    </xf>
    <xf numFmtId="0" fontId="0" fillId="3" borderId="33" xfId="0" applyFill="1" applyBorder="1">
      <alignment vertical="center"/>
    </xf>
    <xf numFmtId="0" fontId="0" fillId="0" borderId="34" xfId="0" applyBorder="1">
      <alignment vertical="center"/>
    </xf>
    <xf numFmtId="0" fontId="0" fillId="0" borderId="30" xfId="0" applyBorder="1">
      <alignment vertical="center"/>
    </xf>
    <xf numFmtId="0" fontId="0" fillId="0" borderId="27" xfId="0" applyBorder="1">
      <alignment vertical="center"/>
    </xf>
    <xf numFmtId="0" fontId="4" fillId="2" borderId="35" xfId="2" applyFont="1" applyBorder="1" applyAlignment="1">
      <alignment horizontal="center" vertical="center"/>
    </xf>
    <xf numFmtId="41" fontId="0" fillId="3" borderId="37" xfId="1" applyFont="1" applyFill="1" applyBorder="1">
      <alignment vertical="center"/>
    </xf>
    <xf numFmtId="41" fontId="9" fillId="3" borderId="38" xfId="1" applyFont="1" applyFill="1" applyBorder="1">
      <alignment vertical="center"/>
    </xf>
    <xf numFmtId="41" fontId="9" fillId="3" borderId="39" xfId="1" applyFont="1" applyFill="1" applyBorder="1">
      <alignment vertical="center"/>
    </xf>
    <xf numFmtId="41" fontId="9" fillId="3" borderId="40" xfId="1" applyFont="1" applyFill="1" applyBorder="1">
      <alignment vertical="center"/>
    </xf>
    <xf numFmtId="41" fontId="0" fillId="3" borderId="41" xfId="1" applyFont="1" applyFill="1" applyBorder="1">
      <alignment vertical="center"/>
    </xf>
    <xf numFmtId="41" fontId="0" fillId="3" borderId="38" xfId="1" applyFont="1" applyFill="1" applyBorder="1">
      <alignment vertical="center"/>
    </xf>
    <xf numFmtId="41" fontId="0" fillId="0" borderId="42" xfId="1" applyFont="1" applyBorder="1">
      <alignment vertical="center"/>
    </xf>
    <xf numFmtId="41" fontId="0" fillId="0" borderId="38" xfId="1" applyFont="1" applyBorder="1">
      <alignment vertical="center"/>
    </xf>
    <xf numFmtId="41" fontId="0" fillId="0" borderId="35" xfId="1" applyFont="1" applyBorder="1">
      <alignment vertical="center"/>
    </xf>
    <xf numFmtId="0" fontId="4" fillId="2" borderId="3" xfId="2" applyFont="1" applyBorder="1" applyAlignment="1">
      <alignment horizontal="center" vertical="center"/>
    </xf>
    <xf numFmtId="0" fontId="0" fillId="3" borderId="23" xfId="0" applyFill="1" applyBorder="1">
      <alignment vertical="center"/>
    </xf>
    <xf numFmtId="0" fontId="0" fillId="3" borderId="19" xfId="0" applyFill="1" applyBorder="1">
      <alignment vertical="center"/>
    </xf>
    <xf numFmtId="0" fontId="0" fillId="3" borderId="15" xfId="0" applyFill="1" applyBorder="1">
      <alignment vertical="center"/>
    </xf>
    <xf numFmtId="0" fontId="0" fillId="3" borderId="20" xfId="0" applyFill="1" applyBorder="1">
      <alignment vertical="center"/>
    </xf>
    <xf numFmtId="0" fontId="0" fillId="3" borderId="6" xfId="0" applyFill="1" applyBorder="1">
      <alignment vertical="center"/>
    </xf>
    <xf numFmtId="0" fontId="0" fillId="0" borderId="16" xfId="0" applyBorder="1">
      <alignment vertical="center"/>
    </xf>
    <xf numFmtId="0" fontId="0" fillId="0" borderId="19" xfId="0" applyBorder="1">
      <alignment vertical="center"/>
    </xf>
    <xf numFmtId="0" fontId="0" fillId="0" borderId="24" xfId="0" applyBorder="1">
      <alignment vertical="center"/>
    </xf>
    <xf numFmtId="0" fontId="0" fillId="0" borderId="21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40" xfId="0" applyBorder="1">
      <alignment vertical="center"/>
    </xf>
    <xf numFmtId="0" fontId="4" fillId="2" borderId="28" xfId="2" applyFont="1" applyBorder="1" applyAlignment="1">
      <alignment horizontal="center" vertical="center"/>
    </xf>
    <xf numFmtId="0" fontId="4" fillId="2" borderId="43" xfId="2" applyFont="1" applyBorder="1" applyAlignment="1">
      <alignment horizontal="center" vertical="center"/>
    </xf>
    <xf numFmtId="41" fontId="0" fillId="3" borderId="44" xfId="1" applyFont="1" applyFill="1" applyBorder="1">
      <alignment vertical="center"/>
    </xf>
    <xf numFmtId="41" fontId="0" fillId="3" borderId="45" xfId="1" applyFont="1" applyFill="1" applyBorder="1">
      <alignment vertical="center"/>
    </xf>
    <xf numFmtId="41" fontId="0" fillId="0" borderId="48" xfId="1" applyFont="1" applyBorder="1">
      <alignment vertical="center"/>
    </xf>
    <xf numFmtId="0" fontId="0" fillId="0" borderId="32" xfId="0" applyBorder="1">
      <alignment vertical="center"/>
    </xf>
    <xf numFmtId="41" fontId="0" fillId="3" borderId="2" xfId="1" applyFont="1" applyFill="1" applyBorder="1" applyAlignment="1">
      <alignment horizontal="center" vertical="center"/>
    </xf>
    <xf numFmtId="41" fontId="0" fillId="0" borderId="45" xfId="1" applyFont="1" applyBorder="1">
      <alignment vertical="center"/>
    </xf>
    <xf numFmtId="41" fontId="0" fillId="4" borderId="1" xfId="1" applyFont="1" applyFill="1" applyBorder="1" applyAlignment="1">
      <alignment horizontal="center" vertical="center"/>
    </xf>
    <xf numFmtId="41" fontId="0" fillId="3" borderId="50" xfId="1" applyFont="1" applyFill="1" applyBorder="1">
      <alignment vertical="center"/>
    </xf>
    <xf numFmtId="41" fontId="0" fillId="3" borderId="51" xfId="1" applyFont="1" applyFill="1" applyBorder="1">
      <alignment vertical="center"/>
    </xf>
    <xf numFmtId="41" fontId="0" fillId="3" borderId="52" xfId="1" applyFont="1" applyFill="1" applyBorder="1">
      <alignment vertical="center"/>
    </xf>
    <xf numFmtId="41" fontId="0" fillId="3" borderId="53" xfId="1" applyFont="1" applyFill="1" applyBorder="1">
      <alignment vertical="center"/>
    </xf>
    <xf numFmtId="41" fontId="0" fillId="3" borderId="54" xfId="1" applyFont="1" applyFill="1" applyBorder="1">
      <alignment vertical="center"/>
    </xf>
    <xf numFmtId="14" fontId="0" fillId="5" borderId="9" xfId="0" applyNumberFormat="1" applyFill="1" applyBorder="1" applyAlignment="1">
      <alignment horizontal="center" vertical="center"/>
    </xf>
    <xf numFmtId="0" fontId="0" fillId="5" borderId="31" xfId="0" applyFill="1" applyBorder="1">
      <alignment vertical="center"/>
    </xf>
    <xf numFmtId="0" fontId="0" fillId="5" borderId="15" xfId="0" applyFill="1" applyBorder="1">
      <alignment vertical="center"/>
    </xf>
    <xf numFmtId="0" fontId="0" fillId="5" borderId="10" xfId="0" applyFill="1" applyBorder="1" applyAlignment="1">
      <alignment horizontal="center" vertical="center"/>
    </xf>
    <xf numFmtId="41" fontId="0" fillId="5" borderId="46" xfId="1" applyFont="1" applyFill="1" applyBorder="1">
      <alignment vertical="center"/>
    </xf>
    <xf numFmtId="41" fontId="0" fillId="5" borderId="39" xfId="1" applyFont="1" applyFill="1" applyBorder="1">
      <alignment vertical="center"/>
    </xf>
    <xf numFmtId="41" fontId="0" fillId="5" borderId="9" xfId="1" applyFont="1" applyFill="1" applyBorder="1">
      <alignment vertical="center"/>
    </xf>
    <xf numFmtId="41" fontId="0" fillId="5" borderId="9" xfId="1" applyFon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41" fontId="10" fillId="0" borderId="47" xfId="1" applyFont="1" applyBorder="1">
      <alignment vertical="center"/>
    </xf>
    <xf numFmtId="41" fontId="10" fillId="0" borderId="45" xfId="1" applyFont="1" applyBorder="1">
      <alignment vertical="center"/>
    </xf>
    <xf numFmtId="41" fontId="12" fillId="6" borderId="1" xfId="3" applyNumberFormat="1" applyFont="1" applyBorder="1">
      <alignment vertical="center"/>
    </xf>
    <xf numFmtId="0" fontId="12" fillId="6" borderId="17" xfId="3" applyFont="1" applyBorder="1" applyAlignment="1">
      <alignment horizontal="center" vertical="center"/>
    </xf>
    <xf numFmtId="41" fontId="12" fillId="6" borderId="17" xfId="3" applyNumberFormat="1" applyFont="1" applyBorder="1">
      <alignment vertical="center"/>
    </xf>
    <xf numFmtId="41" fontId="12" fillId="6" borderId="42" xfId="3" applyNumberFormat="1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4" fillId="2" borderId="2" xfId="2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14" fontId="0" fillId="7" borderId="11" xfId="0" applyNumberFormat="1" applyFill="1" applyBorder="1" applyAlignment="1">
      <alignment horizontal="center" vertical="center"/>
    </xf>
    <xf numFmtId="0" fontId="0" fillId="7" borderId="28" xfId="0" applyFill="1" applyBorder="1">
      <alignment vertical="center"/>
    </xf>
    <xf numFmtId="0" fontId="0" fillId="7" borderId="3" xfId="0" applyFill="1" applyBorder="1">
      <alignment vertical="center"/>
    </xf>
    <xf numFmtId="0" fontId="0" fillId="7" borderId="12" xfId="0" applyFill="1" applyBorder="1" applyAlignment="1">
      <alignment horizontal="center" vertical="center"/>
    </xf>
    <xf numFmtId="41" fontId="0" fillId="7" borderId="49" xfId="1" applyFont="1" applyFill="1" applyBorder="1">
      <alignment vertical="center"/>
    </xf>
    <xf numFmtId="41" fontId="0" fillId="7" borderId="36" xfId="1" applyFont="1" applyFill="1" applyBorder="1">
      <alignment vertical="center"/>
    </xf>
    <xf numFmtId="41" fontId="5" fillId="7" borderId="11" xfId="1" applyFont="1" applyFill="1" applyBorder="1">
      <alignment vertical="center"/>
    </xf>
    <xf numFmtId="41" fontId="6" fillId="7" borderId="11" xfId="1" applyFon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0" xfId="0" applyFill="1">
      <alignment vertical="center"/>
    </xf>
    <xf numFmtId="14" fontId="0" fillId="7" borderId="4" xfId="0" applyNumberFormat="1" applyFill="1" applyBorder="1" applyAlignment="1">
      <alignment horizontal="center" vertical="center"/>
    </xf>
    <xf numFmtId="0" fontId="0" fillId="7" borderId="29" xfId="0" applyFill="1" applyBorder="1">
      <alignment vertical="center"/>
    </xf>
    <xf numFmtId="0" fontId="0" fillId="7" borderId="23" xfId="0" applyFill="1" applyBorder="1">
      <alignment vertical="center"/>
    </xf>
    <xf numFmtId="0" fontId="0" fillId="7" borderId="5" xfId="0" applyFill="1" applyBorder="1" applyAlignment="1">
      <alignment horizontal="center" vertical="center"/>
    </xf>
    <xf numFmtId="41" fontId="0" fillId="7" borderId="50" xfId="1" applyFont="1" applyFill="1" applyBorder="1">
      <alignment vertical="center"/>
    </xf>
    <xf numFmtId="41" fontId="0" fillId="7" borderId="37" xfId="1" applyFont="1" applyFill="1" applyBorder="1">
      <alignment vertical="center"/>
    </xf>
    <xf numFmtId="41" fontId="0" fillId="7" borderId="4" xfId="1" applyFont="1" applyFill="1" applyBorder="1">
      <alignment vertical="center"/>
    </xf>
    <xf numFmtId="41" fontId="0" fillId="7" borderId="4" xfId="1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14" fontId="0" fillId="7" borderId="9" xfId="0" applyNumberFormat="1" applyFill="1" applyBorder="1" applyAlignment="1">
      <alignment horizontal="center" vertical="center"/>
    </xf>
    <xf numFmtId="0" fontId="0" fillId="7" borderId="31" xfId="0" applyFill="1" applyBorder="1">
      <alignment vertical="center"/>
    </xf>
    <xf numFmtId="0" fontId="0" fillId="7" borderId="15" xfId="0" applyFill="1" applyBorder="1">
      <alignment vertical="center"/>
    </xf>
    <xf numFmtId="0" fontId="0" fillId="7" borderId="10" xfId="0" applyFill="1" applyBorder="1" applyAlignment="1">
      <alignment horizontal="center" vertical="center"/>
    </xf>
    <xf numFmtId="41" fontId="0" fillId="7" borderId="52" xfId="1" applyFont="1" applyFill="1" applyBorder="1">
      <alignment vertical="center"/>
    </xf>
    <xf numFmtId="41" fontId="0" fillId="7" borderId="39" xfId="1" applyFont="1" applyFill="1" applyBorder="1">
      <alignment vertical="center"/>
    </xf>
    <xf numFmtId="41" fontId="0" fillId="7" borderId="9" xfId="1" applyFont="1" applyFill="1" applyBorder="1">
      <alignment vertical="center"/>
    </xf>
    <xf numFmtId="41" fontId="0" fillId="7" borderId="9" xfId="1" applyFont="1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14" fontId="0" fillId="7" borderId="2" xfId="0" applyNumberFormat="1" applyFill="1" applyBorder="1" applyAlignment="1">
      <alignment horizontal="center" vertical="center"/>
    </xf>
    <xf numFmtId="0" fontId="0" fillId="7" borderId="27" xfId="0" applyFill="1" applyBorder="1">
      <alignment vertical="center"/>
    </xf>
    <xf numFmtId="0" fontId="0" fillId="7" borderId="24" xfId="0" applyFill="1" applyBorder="1">
      <alignment vertical="center"/>
    </xf>
    <xf numFmtId="0" fontId="0" fillId="7" borderId="25" xfId="0" applyFill="1" applyBorder="1" applyAlignment="1">
      <alignment horizontal="center" vertical="center"/>
    </xf>
    <xf numFmtId="41" fontId="0" fillId="7" borderId="55" xfId="1" applyFont="1" applyFill="1" applyBorder="1">
      <alignment vertical="center"/>
    </xf>
    <xf numFmtId="41" fontId="0" fillId="7" borderId="35" xfId="1" applyFont="1" applyFill="1" applyBorder="1">
      <alignment vertical="center"/>
    </xf>
    <xf numFmtId="41" fontId="0" fillId="7" borderId="2" xfId="1" applyFont="1" applyFill="1" applyBorder="1">
      <alignment vertical="center"/>
    </xf>
    <xf numFmtId="41" fontId="0" fillId="7" borderId="2" xfId="1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30" xfId="0" applyFill="1" applyBorder="1">
      <alignment vertical="center"/>
    </xf>
    <xf numFmtId="0" fontId="0" fillId="7" borderId="19" xfId="0" applyFill="1" applyBorder="1">
      <alignment vertical="center"/>
    </xf>
    <xf numFmtId="0" fontId="0" fillId="7" borderId="7" xfId="0" applyFill="1" applyBorder="1" applyAlignment="1">
      <alignment horizontal="center" vertical="center"/>
    </xf>
    <xf numFmtId="41" fontId="0" fillId="7" borderId="51" xfId="1" applyFont="1" applyFill="1" applyBorder="1">
      <alignment vertical="center"/>
    </xf>
    <xf numFmtId="41" fontId="9" fillId="7" borderId="38" xfId="1" applyFont="1" applyFill="1" applyBorder="1">
      <alignment vertical="center"/>
    </xf>
    <xf numFmtId="41" fontId="0" fillId="7" borderId="1" xfId="1" applyFont="1" applyFill="1" applyBorder="1">
      <alignment vertical="center"/>
    </xf>
    <xf numFmtId="41" fontId="0" fillId="7" borderId="1" xfId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</cellXfs>
  <cellStyles count="4">
    <cellStyle name="나쁨" xfId="3" builtinId="27"/>
    <cellStyle name="쉼표 [0]" xfId="1" builtinId="6"/>
    <cellStyle name="좋음" xfId="2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u Shin" id="{8DE65060-CBCE-4B61-9D06-294ED6ED37F4}" userId="e1f2d251dbdf7eb4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4" dT="2026-06-04T11:28:20.76" personId="{8DE65060-CBCE-4B61-9D06-294ED6ED37F4}" id="{FD570396-54C7-46EC-9A08-7AA932992B69}">
    <text>원천징수</text>
  </threadedComment>
  <threadedComment ref="G23" dT="2026-06-04T11:28:20.76" personId="{8DE65060-CBCE-4B61-9D06-294ED6ED37F4}" id="{9463B880-09D4-4FD4-9D7A-145389B4866A}">
    <text>원천징수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E374-3F86-4A3F-8FAA-3EAA70EA8953}">
  <dimension ref="A1:L41"/>
  <sheetViews>
    <sheetView tabSelected="1" zoomScale="90" zoomScaleNormal="90" workbookViewId="0">
      <selection activeCell="D20" sqref="D20"/>
    </sheetView>
  </sheetViews>
  <sheetFormatPr defaultRowHeight="17" x14ac:dyDescent="0.45"/>
  <cols>
    <col min="1" max="1" width="4.9140625" customWidth="1"/>
    <col min="2" max="2" width="14.5" customWidth="1"/>
    <col min="3" max="3" width="14.08203125" bestFit="1" customWidth="1"/>
    <col min="4" max="4" width="42.4140625" customWidth="1"/>
    <col min="5" max="5" width="25" customWidth="1"/>
    <col min="6" max="8" width="15.58203125" customWidth="1"/>
    <col min="9" max="10" width="15.58203125" style="7" customWidth="1"/>
  </cols>
  <sheetData>
    <row r="1" spans="1:12" s="1" customFormat="1" ht="17.5" thickBot="1" x14ac:dyDescent="0.5">
      <c r="A1" s="5" t="s">
        <v>8</v>
      </c>
      <c r="B1" s="5" t="s">
        <v>9</v>
      </c>
      <c r="C1" s="49" t="s">
        <v>6</v>
      </c>
      <c r="D1" s="68" t="s">
        <v>0</v>
      </c>
      <c r="E1" s="82" t="s">
        <v>1</v>
      </c>
      <c r="F1" s="83" t="s">
        <v>2</v>
      </c>
      <c r="G1" s="58" t="s">
        <v>3</v>
      </c>
      <c r="H1" s="5" t="s">
        <v>4</v>
      </c>
      <c r="I1" s="5" t="s">
        <v>18</v>
      </c>
      <c r="J1" s="5" t="s">
        <v>34</v>
      </c>
      <c r="K1" s="113" t="s">
        <v>10</v>
      </c>
      <c r="L1" s="113"/>
    </row>
    <row r="2" spans="1:12" s="133" customFormat="1" ht="17.5" thickBot="1" x14ac:dyDescent="0.5">
      <c r="A2" s="123">
        <v>1</v>
      </c>
      <c r="B2" s="124">
        <v>46153</v>
      </c>
      <c r="C2" s="125" t="s">
        <v>7</v>
      </c>
      <c r="D2" s="126" t="s">
        <v>22</v>
      </c>
      <c r="E2" s="127" t="s">
        <v>5</v>
      </c>
      <c r="F2" s="128">
        <v>20000000</v>
      </c>
      <c r="G2" s="129">
        <v>2000000</v>
      </c>
      <c r="H2" s="130">
        <v>22000000</v>
      </c>
      <c r="I2" s="131" t="s">
        <v>19</v>
      </c>
      <c r="J2" s="131" t="s">
        <v>35</v>
      </c>
      <c r="K2" s="132" t="s">
        <v>11</v>
      </c>
      <c r="L2" s="127"/>
    </row>
    <row r="3" spans="1:12" s="133" customFormat="1" x14ac:dyDescent="0.45">
      <c r="A3" s="114">
        <v>2</v>
      </c>
      <c r="B3" s="134">
        <v>46183</v>
      </c>
      <c r="C3" s="135" t="s">
        <v>38</v>
      </c>
      <c r="D3" s="136" t="s">
        <v>21</v>
      </c>
      <c r="E3" s="137" t="s">
        <v>12</v>
      </c>
      <c r="F3" s="138">
        <v>840000</v>
      </c>
      <c r="G3" s="139">
        <v>84000</v>
      </c>
      <c r="H3" s="140">
        <f>SUM(F3:G3)</f>
        <v>924000</v>
      </c>
      <c r="I3" s="141" t="s">
        <v>19</v>
      </c>
      <c r="J3" s="141" t="s">
        <v>35</v>
      </c>
      <c r="K3" s="142" t="s">
        <v>11</v>
      </c>
      <c r="L3" s="137"/>
    </row>
    <row r="4" spans="1:12" s="133" customFormat="1" x14ac:dyDescent="0.45">
      <c r="A4" s="115"/>
      <c r="B4" s="161">
        <v>46183</v>
      </c>
      <c r="C4" s="162" t="s">
        <v>40</v>
      </c>
      <c r="D4" s="163" t="s">
        <v>72</v>
      </c>
      <c r="E4" s="164" t="s">
        <v>36</v>
      </c>
      <c r="F4" s="165">
        <v>300000</v>
      </c>
      <c r="G4" s="166">
        <f>F4*3.3%</f>
        <v>9900</v>
      </c>
      <c r="H4" s="167">
        <f>F4-G4</f>
        <v>290100</v>
      </c>
      <c r="I4" s="168" t="s">
        <v>37</v>
      </c>
      <c r="J4" s="168"/>
      <c r="K4" s="169" t="s">
        <v>11</v>
      </c>
      <c r="L4" s="164"/>
    </row>
    <row r="5" spans="1:12" ht="17.5" thickBot="1" x14ac:dyDescent="0.5">
      <c r="A5" s="116"/>
      <c r="B5" s="26">
        <v>46183</v>
      </c>
      <c r="C5" s="52" t="s">
        <v>41</v>
      </c>
      <c r="D5" s="71" t="s">
        <v>39</v>
      </c>
      <c r="E5" s="30" t="s">
        <v>15</v>
      </c>
      <c r="F5" s="93">
        <v>4680000</v>
      </c>
      <c r="G5" s="61"/>
      <c r="H5" s="28">
        <v>4680000</v>
      </c>
      <c r="I5" s="29" t="s">
        <v>20</v>
      </c>
      <c r="J5" s="29" t="s">
        <v>35</v>
      </c>
      <c r="K5" s="27" t="s">
        <v>11</v>
      </c>
      <c r="L5" s="30"/>
    </row>
    <row r="6" spans="1:12" ht="17.5" thickBot="1" x14ac:dyDescent="0.5">
      <c r="A6" s="31">
        <v>3</v>
      </c>
      <c r="B6" s="32">
        <v>46189</v>
      </c>
      <c r="C6" s="53" t="s">
        <v>52</v>
      </c>
      <c r="D6" s="72" t="s">
        <v>39</v>
      </c>
      <c r="E6" s="36" t="s">
        <v>15</v>
      </c>
      <c r="F6" s="94">
        <v>1170000</v>
      </c>
      <c r="G6" s="62"/>
      <c r="H6" s="34">
        <v>1170000</v>
      </c>
      <c r="I6" s="35" t="s">
        <v>20</v>
      </c>
      <c r="J6" s="35" t="s">
        <v>35</v>
      </c>
      <c r="K6" s="33"/>
      <c r="L6" s="36" t="s">
        <v>17</v>
      </c>
    </row>
    <row r="7" spans="1:12" ht="17.5" x14ac:dyDescent="0.45">
      <c r="A7" s="37">
        <v>4</v>
      </c>
      <c r="B7" s="38">
        <v>46192</v>
      </c>
      <c r="C7" s="54" t="s">
        <v>44</v>
      </c>
      <c r="D7" s="73" t="s">
        <v>23</v>
      </c>
      <c r="E7" s="42" t="s">
        <v>13</v>
      </c>
      <c r="F7" s="95">
        <v>1836000</v>
      </c>
      <c r="G7" s="63"/>
      <c r="H7" s="40">
        <v>1836000</v>
      </c>
      <c r="I7" s="41" t="s">
        <v>20</v>
      </c>
      <c r="J7" s="41" t="s">
        <v>35</v>
      </c>
      <c r="K7" s="39"/>
      <c r="L7" s="42" t="s">
        <v>17</v>
      </c>
    </row>
    <row r="8" spans="1:12" x14ac:dyDescent="0.45">
      <c r="A8" s="114">
        <v>5</v>
      </c>
      <c r="B8" s="16">
        <v>46198</v>
      </c>
      <c r="C8" s="50" t="s">
        <v>54</v>
      </c>
      <c r="D8" s="69" t="s">
        <v>24</v>
      </c>
      <c r="E8" s="20" t="s">
        <v>14</v>
      </c>
      <c r="F8" s="91">
        <v>20000000</v>
      </c>
      <c r="G8" s="59"/>
      <c r="H8" s="18">
        <f>SUM(F8:G8)</f>
        <v>20000000</v>
      </c>
      <c r="I8" s="19" t="s">
        <v>20</v>
      </c>
      <c r="J8" s="19" t="s">
        <v>35</v>
      </c>
      <c r="K8" s="17" t="s">
        <v>11</v>
      </c>
      <c r="L8" s="20"/>
    </row>
    <row r="9" spans="1:12" x14ac:dyDescent="0.45">
      <c r="A9" s="115"/>
      <c r="B9" s="21">
        <v>46198</v>
      </c>
      <c r="C9" s="51" t="s">
        <v>54</v>
      </c>
      <c r="D9" s="70" t="s">
        <v>24</v>
      </c>
      <c r="E9" s="25" t="s">
        <v>15</v>
      </c>
      <c r="F9" s="92">
        <v>20000000</v>
      </c>
      <c r="G9" s="64"/>
      <c r="H9" s="23">
        <f t="shared" ref="H9:H13" si="0">SUM(F9:G9)</f>
        <v>20000000</v>
      </c>
      <c r="I9" s="24" t="s">
        <v>20</v>
      </c>
      <c r="J9" s="24" t="s">
        <v>35</v>
      </c>
      <c r="K9" s="22" t="s">
        <v>11</v>
      </c>
      <c r="L9" s="25"/>
    </row>
    <row r="10" spans="1:12" x14ac:dyDescent="0.45">
      <c r="A10" s="115"/>
      <c r="B10" s="21">
        <v>46198</v>
      </c>
      <c r="C10" s="51" t="s">
        <v>53</v>
      </c>
      <c r="D10" s="70" t="s">
        <v>45</v>
      </c>
      <c r="E10" s="25" t="s">
        <v>46</v>
      </c>
      <c r="F10" s="92">
        <v>5000000</v>
      </c>
      <c r="G10" s="64">
        <v>500000</v>
      </c>
      <c r="H10" s="23">
        <f t="shared" si="0"/>
        <v>5500000</v>
      </c>
      <c r="I10" s="24" t="s">
        <v>19</v>
      </c>
      <c r="J10" s="24" t="s">
        <v>35</v>
      </c>
      <c r="K10" s="22" t="s">
        <v>11</v>
      </c>
      <c r="L10" s="25"/>
    </row>
    <row r="11" spans="1:12" x14ac:dyDescent="0.45">
      <c r="A11" s="115"/>
      <c r="B11" s="21">
        <v>46198</v>
      </c>
      <c r="C11" s="51" t="s">
        <v>53</v>
      </c>
      <c r="D11" s="70" t="s">
        <v>48</v>
      </c>
      <c r="E11" s="25" t="s">
        <v>47</v>
      </c>
      <c r="F11" s="92">
        <v>5000000</v>
      </c>
      <c r="G11" s="64">
        <v>500000</v>
      </c>
      <c r="H11" s="23">
        <f t="shared" si="0"/>
        <v>5500000</v>
      </c>
      <c r="I11" s="24" t="s">
        <v>19</v>
      </c>
      <c r="J11" s="24" t="s">
        <v>35</v>
      </c>
      <c r="K11" s="22" t="s">
        <v>11</v>
      </c>
      <c r="L11" s="25"/>
    </row>
    <row r="12" spans="1:12" x14ac:dyDescent="0.45">
      <c r="A12" s="115"/>
      <c r="B12" s="21">
        <v>46198</v>
      </c>
      <c r="C12" s="51" t="s">
        <v>53</v>
      </c>
      <c r="D12" s="70" t="s">
        <v>49</v>
      </c>
      <c r="E12" s="25" t="s">
        <v>50</v>
      </c>
      <c r="F12" s="92">
        <v>5000000</v>
      </c>
      <c r="G12" s="64">
        <v>500000</v>
      </c>
      <c r="H12" s="23">
        <f t="shared" si="0"/>
        <v>5500000</v>
      </c>
      <c r="I12" s="24" t="s">
        <v>19</v>
      </c>
      <c r="J12" s="24" t="s">
        <v>35</v>
      </c>
      <c r="K12" s="22" t="s">
        <v>11</v>
      </c>
      <c r="L12" s="25"/>
    </row>
    <row r="13" spans="1:12" s="133" customFormat="1" ht="17.5" thickBot="1" x14ac:dyDescent="0.5">
      <c r="A13" s="116"/>
      <c r="B13" s="143">
        <v>46198</v>
      </c>
      <c r="C13" s="144" t="s">
        <v>53</v>
      </c>
      <c r="D13" s="145" t="s">
        <v>21</v>
      </c>
      <c r="E13" s="146" t="s">
        <v>12</v>
      </c>
      <c r="F13" s="147">
        <v>375000</v>
      </c>
      <c r="G13" s="148">
        <v>37500</v>
      </c>
      <c r="H13" s="149">
        <f t="shared" si="0"/>
        <v>412500</v>
      </c>
      <c r="I13" s="150" t="s">
        <v>19</v>
      </c>
      <c r="J13" s="150" t="s">
        <v>35</v>
      </c>
      <c r="K13" s="151" t="s">
        <v>11</v>
      </c>
      <c r="L13" s="146"/>
    </row>
    <row r="14" spans="1:12" ht="17.5" x14ac:dyDescent="0.45">
      <c r="A14" s="37">
        <v>6</v>
      </c>
      <c r="B14" s="38">
        <v>46200</v>
      </c>
      <c r="C14" s="54" t="s">
        <v>59</v>
      </c>
      <c r="D14" s="73" t="s">
        <v>58</v>
      </c>
      <c r="E14" s="42" t="s">
        <v>60</v>
      </c>
      <c r="F14" s="95">
        <v>1462000</v>
      </c>
      <c r="G14" s="63"/>
      <c r="H14" s="40"/>
      <c r="I14" s="41" t="s">
        <v>61</v>
      </c>
      <c r="J14" s="41" t="s">
        <v>35</v>
      </c>
      <c r="K14" s="39"/>
      <c r="L14" s="42" t="s">
        <v>17</v>
      </c>
    </row>
    <row r="15" spans="1:12" x14ac:dyDescent="0.45">
      <c r="A15" s="117">
        <v>7</v>
      </c>
      <c r="B15" s="16">
        <v>46213</v>
      </c>
      <c r="C15" s="50" t="s">
        <v>51</v>
      </c>
      <c r="D15" s="69" t="s">
        <v>25</v>
      </c>
      <c r="E15" s="20" t="s">
        <v>26</v>
      </c>
      <c r="F15" s="91">
        <v>5000000</v>
      </c>
      <c r="G15" s="59">
        <v>500000</v>
      </c>
      <c r="H15" s="18">
        <v>5500000</v>
      </c>
      <c r="I15" s="19" t="s">
        <v>19</v>
      </c>
      <c r="J15" s="19" t="s">
        <v>35</v>
      </c>
      <c r="K15" s="17" t="s">
        <v>11</v>
      </c>
      <c r="L15" s="20"/>
    </row>
    <row r="16" spans="1:12" x14ac:dyDescent="0.45">
      <c r="A16" s="118"/>
      <c r="B16" s="21">
        <v>46213</v>
      </c>
      <c r="C16" s="51" t="s">
        <v>51</v>
      </c>
      <c r="D16" s="70" t="s">
        <v>25</v>
      </c>
      <c r="E16" s="25" t="s">
        <v>27</v>
      </c>
      <c r="F16" s="92">
        <v>1500000</v>
      </c>
      <c r="G16" s="64">
        <v>150000</v>
      </c>
      <c r="H16" s="23">
        <v>1650000</v>
      </c>
      <c r="I16" s="24" t="s">
        <v>19</v>
      </c>
      <c r="J16" s="24" t="s">
        <v>35</v>
      </c>
      <c r="K16" s="22" t="s">
        <v>11</v>
      </c>
      <c r="L16" s="25"/>
    </row>
    <row r="17" spans="1:12" x14ac:dyDescent="0.45">
      <c r="A17" s="118"/>
      <c r="B17" s="21">
        <v>46213</v>
      </c>
      <c r="C17" s="51" t="s">
        <v>56</v>
      </c>
      <c r="D17" s="70" t="s">
        <v>57</v>
      </c>
      <c r="E17" s="25" t="s">
        <v>55</v>
      </c>
      <c r="F17" s="92">
        <v>4590000</v>
      </c>
      <c r="G17" s="64">
        <v>459000</v>
      </c>
      <c r="H17" s="23">
        <f t="shared" ref="H17:H22" si="1">SUM(F17:G17)</f>
        <v>5049000</v>
      </c>
      <c r="I17" s="24" t="s">
        <v>19</v>
      </c>
      <c r="J17" s="24" t="s">
        <v>35</v>
      </c>
      <c r="K17" s="22" t="s">
        <v>11</v>
      </c>
      <c r="L17" s="25"/>
    </row>
    <row r="18" spans="1:12" s="133" customFormat="1" ht="17.5" x14ac:dyDescent="0.45">
      <c r="A18" s="119"/>
      <c r="B18" s="152">
        <v>46213</v>
      </c>
      <c r="C18" s="153" t="s">
        <v>56</v>
      </c>
      <c r="D18" s="154" t="s">
        <v>21</v>
      </c>
      <c r="E18" s="155" t="s">
        <v>12</v>
      </c>
      <c r="F18" s="156">
        <v>745000</v>
      </c>
      <c r="G18" s="157">
        <v>74500</v>
      </c>
      <c r="H18" s="158">
        <f t="shared" si="1"/>
        <v>819500</v>
      </c>
      <c r="I18" s="159" t="s">
        <v>19</v>
      </c>
      <c r="J18" s="159" t="s">
        <v>35</v>
      </c>
      <c r="K18" s="160" t="s">
        <v>11</v>
      </c>
      <c r="L18" s="155"/>
    </row>
    <row r="19" spans="1:12" x14ac:dyDescent="0.45">
      <c r="A19" s="120">
        <v>8</v>
      </c>
      <c r="B19" s="16">
        <v>46234</v>
      </c>
      <c r="C19" s="50" t="s">
        <v>54</v>
      </c>
      <c r="D19" s="69" t="s">
        <v>24</v>
      </c>
      <c r="E19" s="20" t="s">
        <v>16</v>
      </c>
      <c r="F19" s="84">
        <v>20000000</v>
      </c>
      <c r="G19" s="59"/>
      <c r="H19" s="18">
        <f t="shared" si="1"/>
        <v>20000000</v>
      </c>
      <c r="I19" s="19" t="s">
        <v>20</v>
      </c>
      <c r="J19" s="19" t="s">
        <v>35</v>
      </c>
      <c r="K19" s="17" t="s">
        <v>11</v>
      </c>
      <c r="L19" s="20"/>
    </row>
    <row r="20" spans="1:12" x14ac:dyDescent="0.45">
      <c r="A20" s="121"/>
      <c r="B20" s="21">
        <v>46234</v>
      </c>
      <c r="C20" s="51" t="s">
        <v>71</v>
      </c>
      <c r="D20" s="70" t="s">
        <v>63</v>
      </c>
      <c r="E20" s="25" t="s">
        <v>62</v>
      </c>
      <c r="F20" s="85">
        <v>15000000</v>
      </c>
      <c r="G20" s="64">
        <v>1500000</v>
      </c>
      <c r="H20" s="23">
        <f t="shared" si="1"/>
        <v>16500000</v>
      </c>
      <c r="I20" s="24" t="s">
        <v>19</v>
      </c>
      <c r="J20" s="24" t="s">
        <v>35</v>
      </c>
      <c r="K20" s="22" t="s">
        <v>11</v>
      </c>
      <c r="L20" s="25"/>
    </row>
    <row r="21" spans="1:12" x14ac:dyDescent="0.45">
      <c r="A21" s="121"/>
      <c r="B21" s="21">
        <v>46234</v>
      </c>
      <c r="C21" s="51" t="s">
        <v>71</v>
      </c>
      <c r="D21" s="70" t="s">
        <v>64</v>
      </c>
      <c r="E21" s="25" t="s">
        <v>50</v>
      </c>
      <c r="F21" s="85">
        <v>35000000</v>
      </c>
      <c r="G21" s="64">
        <v>3500000</v>
      </c>
      <c r="H21" s="23">
        <f t="shared" si="1"/>
        <v>38500000</v>
      </c>
      <c r="I21" s="24" t="s">
        <v>19</v>
      </c>
      <c r="J21" s="24" t="s">
        <v>35</v>
      </c>
      <c r="K21" s="22" t="s">
        <v>11</v>
      </c>
      <c r="L21" s="25"/>
    </row>
    <row r="22" spans="1:12" x14ac:dyDescent="0.45">
      <c r="A22" s="121"/>
      <c r="B22" s="21">
        <v>46234</v>
      </c>
      <c r="C22" s="51" t="s">
        <v>71</v>
      </c>
      <c r="D22" s="70" t="s">
        <v>70</v>
      </c>
      <c r="E22" s="25" t="s">
        <v>50</v>
      </c>
      <c r="F22" s="85">
        <v>129000</v>
      </c>
      <c r="G22" s="64">
        <v>12900</v>
      </c>
      <c r="H22" s="23">
        <f t="shared" si="1"/>
        <v>141900</v>
      </c>
      <c r="I22" s="24" t="s">
        <v>19</v>
      </c>
      <c r="J22" s="24" t="s">
        <v>35</v>
      </c>
      <c r="K22" s="22" t="s">
        <v>11</v>
      </c>
      <c r="L22" s="25"/>
    </row>
    <row r="23" spans="1:12" x14ac:dyDescent="0.45">
      <c r="A23" s="121"/>
      <c r="B23" s="21">
        <v>46234</v>
      </c>
      <c r="C23" s="51" t="s">
        <v>81</v>
      </c>
      <c r="D23" s="70" t="s">
        <v>72</v>
      </c>
      <c r="E23" s="25" t="s">
        <v>73</v>
      </c>
      <c r="F23" s="85">
        <v>300000</v>
      </c>
      <c r="G23" s="60">
        <f t="shared" ref="G23:G28" si="2">F23*3.3%</f>
        <v>9900</v>
      </c>
      <c r="H23" s="23">
        <f t="shared" ref="H23:H28" si="3">F23-G23</f>
        <v>290100</v>
      </c>
      <c r="I23" s="24" t="s">
        <v>37</v>
      </c>
      <c r="J23" s="24"/>
      <c r="K23" s="22" t="s">
        <v>11</v>
      </c>
      <c r="L23" s="25"/>
    </row>
    <row r="24" spans="1:12" x14ac:dyDescent="0.45">
      <c r="A24" s="121"/>
      <c r="B24" s="21">
        <v>46234</v>
      </c>
      <c r="C24" s="51" t="s">
        <v>81</v>
      </c>
      <c r="D24" s="70" t="s">
        <v>72</v>
      </c>
      <c r="E24" s="25" t="s">
        <v>74</v>
      </c>
      <c r="F24" s="85">
        <v>800000</v>
      </c>
      <c r="G24" s="60">
        <f t="shared" si="2"/>
        <v>26400</v>
      </c>
      <c r="H24" s="23">
        <f t="shared" si="3"/>
        <v>773600</v>
      </c>
      <c r="I24" s="24" t="s">
        <v>37</v>
      </c>
      <c r="J24" s="24"/>
      <c r="K24" s="22" t="s">
        <v>11</v>
      </c>
      <c r="L24" s="25"/>
    </row>
    <row r="25" spans="1:12" x14ac:dyDescent="0.45">
      <c r="A25" s="121"/>
      <c r="B25" s="21">
        <v>46234</v>
      </c>
      <c r="C25" s="51" t="s">
        <v>81</v>
      </c>
      <c r="D25" s="70" t="s">
        <v>72</v>
      </c>
      <c r="E25" s="25" t="s">
        <v>75</v>
      </c>
      <c r="F25" s="85">
        <v>280000</v>
      </c>
      <c r="G25" s="60">
        <f t="shared" si="2"/>
        <v>9240</v>
      </c>
      <c r="H25" s="23">
        <f t="shared" si="3"/>
        <v>270760</v>
      </c>
      <c r="I25" s="24" t="s">
        <v>37</v>
      </c>
      <c r="J25" s="24"/>
      <c r="K25" s="22" t="s">
        <v>11</v>
      </c>
      <c r="L25" s="25"/>
    </row>
    <row r="26" spans="1:12" x14ac:dyDescent="0.45">
      <c r="A26" s="121"/>
      <c r="B26" s="21">
        <v>46234</v>
      </c>
      <c r="C26" s="51" t="s">
        <v>81</v>
      </c>
      <c r="D26" s="70" t="s">
        <v>72</v>
      </c>
      <c r="E26" s="25" t="s">
        <v>76</v>
      </c>
      <c r="F26" s="85">
        <v>200000</v>
      </c>
      <c r="G26" s="60">
        <f t="shared" si="2"/>
        <v>6600</v>
      </c>
      <c r="H26" s="23">
        <f t="shared" si="3"/>
        <v>193400</v>
      </c>
      <c r="I26" s="24" t="s">
        <v>37</v>
      </c>
      <c r="J26" s="24"/>
      <c r="K26" s="22" t="s">
        <v>11</v>
      </c>
      <c r="L26" s="25"/>
    </row>
    <row r="27" spans="1:12" x14ac:dyDescent="0.45">
      <c r="A27" s="121"/>
      <c r="B27" s="21">
        <v>46234</v>
      </c>
      <c r="C27" s="51" t="s">
        <v>81</v>
      </c>
      <c r="D27" s="70" t="s">
        <v>72</v>
      </c>
      <c r="E27" s="25" t="s">
        <v>77</v>
      </c>
      <c r="F27" s="85">
        <v>550000</v>
      </c>
      <c r="G27" s="60">
        <f t="shared" si="2"/>
        <v>18150</v>
      </c>
      <c r="H27" s="23">
        <f t="shared" si="3"/>
        <v>531850</v>
      </c>
      <c r="I27" s="24" t="s">
        <v>37</v>
      </c>
      <c r="J27" s="24"/>
      <c r="K27" s="22" t="s">
        <v>11</v>
      </c>
      <c r="L27" s="25"/>
    </row>
    <row r="28" spans="1:12" x14ac:dyDescent="0.45">
      <c r="A28" s="121"/>
      <c r="B28" s="21">
        <v>46234</v>
      </c>
      <c r="C28" s="51" t="s">
        <v>81</v>
      </c>
      <c r="D28" s="70" t="s">
        <v>72</v>
      </c>
      <c r="E28" s="25" t="s">
        <v>79</v>
      </c>
      <c r="F28" s="85">
        <v>900000</v>
      </c>
      <c r="G28" s="60">
        <f t="shared" si="2"/>
        <v>29700</v>
      </c>
      <c r="H28" s="23">
        <f t="shared" si="3"/>
        <v>870300</v>
      </c>
      <c r="I28" s="24" t="s">
        <v>37</v>
      </c>
      <c r="J28" s="24"/>
      <c r="K28" s="22" t="s">
        <v>11</v>
      </c>
      <c r="L28" s="25"/>
    </row>
    <row r="29" spans="1:12" x14ac:dyDescent="0.45">
      <c r="A29" s="121"/>
      <c r="B29" s="21">
        <v>46234</v>
      </c>
      <c r="C29" s="51" t="s">
        <v>81</v>
      </c>
      <c r="D29" s="70" t="s">
        <v>72</v>
      </c>
      <c r="E29" s="25" t="s">
        <v>80</v>
      </c>
      <c r="F29" s="85">
        <v>3300000</v>
      </c>
      <c r="G29" s="64">
        <v>330000</v>
      </c>
      <c r="H29" s="23">
        <f t="shared" ref="H29:H30" si="4">SUM(F29:G29)</f>
        <v>3630000</v>
      </c>
      <c r="I29" s="24" t="s">
        <v>19</v>
      </c>
      <c r="J29" s="24" t="s">
        <v>35</v>
      </c>
      <c r="K29" s="22" t="s">
        <v>11</v>
      </c>
      <c r="L29" s="25"/>
    </row>
    <row r="30" spans="1:12" x14ac:dyDescent="0.45">
      <c r="A30" s="121"/>
      <c r="B30" s="21">
        <v>46234</v>
      </c>
      <c r="C30" s="51" t="s">
        <v>81</v>
      </c>
      <c r="D30" s="70" t="s">
        <v>72</v>
      </c>
      <c r="E30" s="25" t="s">
        <v>78</v>
      </c>
      <c r="F30" s="85">
        <v>900000</v>
      </c>
      <c r="G30" s="64">
        <v>90000</v>
      </c>
      <c r="H30" s="23">
        <f t="shared" si="4"/>
        <v>990000</v>
      </c>
      <c r="I30" s="24" t="s">
        <v>19</v>
      </c>
      <c r="J30" s="24" t="s">
        <v>35</v>
      </c>
      <c r="K30" s="22" t="s">
        <v>11</v>
      </c>
      <c r="L30" s="25"/>
    </row>
    <row r="31" spans="1:12" ht="17.5" thickBot="1" x14ac:dyDescent="0.5">
      <c r="A31" s="122"/>
      <c r="B31" s="96">
        <v>46234</v>
      </c>
      <c r="C31" s="97" t="s">
        <v>43</v>
      </c>
      <c r="D31" s="98" t="s">
        <v>32</v>
      </c>
      <c r="E31" s="99" t="s">
        <v>14</v>
      </c>
      <c r="F31" s="100">
        <v>25000000</v>
      </c>
      <c r="G31" s="101">
        <v>2500000</v>
      </c>
      <c r="H31" s="102">
        <f t="shared" ref="H31" si="5">SUM(F31:G31)</f>
        <v>27500000</v>
      </c>
      <c r="I31" s="103" t="s">
        <v>19</v>
      </c>
      <c r="J31" s="88" t="s">
        <v>35</v>
      </c>
      <c r="K31" s="104" t="s">
        <v>11</v>
      </c>
      <c r="L31" s="99"/>
    </row>
    <row r="32" spans="1:12" x14ac:dyDescent="0.45">
      <c r="A32" s="120">
        <v>10</v>
      </c>
      <c r="B32" s="4">
        <v>46234</v>
      </c>
      <c r="C32" s="56" t="s">
        <v>43</v>
      </c>
      <c r="D32" s="75" t="s">
        <v>31</v>
      </c>
      <c r="E32" s="9" t="s">
        <v>33</v>
      </c>
      <c r="F32" s="89">
        <v>25000000</v>
      </c>
      <c r="G32" s="66">
        <v>2500000</v>
      </c>
      <c r="H32" s="3">
        <f t="shared" ref="H32:H34" si="6">SUM(F32:G32)</f>
        <v>27500000</v>
      </c>
      <c r="I32" s="6" t="s">
        <v>19</v>
      </c>
      <c r="J32" s="90"/>
      <c r="K32" s="2" t="s">
        <v>11</v>
      </c>
      <c r="L32" s="9"/>
    </row>
    <row r="33" spans="1:12" x14ac:dyDescent="0.45">
      <c r="A33" s="121"/>
      <c r="B33" s="12"/>
      <c r="C33" s="55"/>
      <c r="D33" s="74" t="s">
        <v>65</v>
      </c>
      <c r="E33" s="15" t="s">
        <v>66</v>
      </c>
      <c r="F33" s="105">
        <f>14000000-2857000</f>
        <v>11143000</v>
      </c>
      <c r="G33" s="65">
        <f>F33*0.1</f>
        <v>1114300</v>
      </c>
      <c r="H33" s="3">
        <f t="shared" si="6"/>
        <v>12257300</v>
      </c>
      <c r="I33" s="14" t="s">
        <v>19</v>
      </c>
      <c r="J33" s="14"/>
      <c r="K33" s="13" t="s">
        <v>11</v>
      </c>
      <c r="L33" s="15"/>
    </row>
    <row r="34" spans="1:12" x14ac:dyDescent="0.45">
      <c r="A34" s="121"/>
      <c r="B34" s="4"/>
      <c r="C34" s="56"/>
      <c r="D34" s="75" t="s">
        <v>67</v>
      </c>
      <c r="E34" s="9" t="s">
        <v>68</v>
      </c>
      <c r="F34" s="106">
        <v>4000000</v>
      </c>
      <c r="G34" s="66">
        <v>400000</v>
      </c>
      <c r="H34" s="3">
        <f t="shared" si="6"/>
        <v>4400000</v>
      </c>
      <c r="I34" s="6" t="s">
        <v>19</v>
      </c>
      <c r="J34" s="6"/>
      <c r="K34" s="2" t="s">
        <v>11</v>
      </c>
      <c r="L34" s="9"/>
    </row>
    <row r="35" spans="1:12" ht="17.5" thickBot="1" x14ac:dyDescent="0.5">
      <c r="A35" s="122"/>
      <c r="B35" s="43">
        <v>46295</v>
      </c>
      <c r="C35" s="57" t="s">
        <v>42</v>
      </c>
      <c r="D35" s="76" t="s">
        <v>30</v>
      </c>
      <c r="E35" s="47" t="s">
        <v>15</v>
      </c>
      <c r="F35" s="86">
        <v>60000000</v>
      </c>
      <c r="G35" s="67">
        <v>6000000</v>
      </c>
      <c r="H35" s="45">
        <f>SUM(F35:G35)</f>
        <v>66000000</v>
      </c>
      <c r="I35" s="46" t="s">
        <v>19</v>
      </c>
      <c r="J35" s="46"/>
      <c r="K35" s="44" t="s">
        <v>11</v>
      </c>
      <c r="L35" s="47"/>
    </row>
    <row r="36" spans="1:12" ht="17.5" thickBot="1" x14ac:dyDescent="0.5">
      <c r="A36" s="78"/>
      <c r="B36" s="79"/>
      <c r="C36" s="87"/>
      <c r="D36" s="111" t="s">
        <v>69</v>
      </c>
      <c r="E36" s="112"/>
      <c r="F36" s="48">
        <f>SUM(F2:F35)</f>
        <v>300000000</v>
      </c>
      <c r="G36" s="81"/>
      <c r="H36" s="79"/>
      <c r="I36" s="77"/>
      <c r="J36" s="77"/>
      <c r="K36" s="79"/>
      <c r="L36" s="80"/>
    </row>
    <row r="37" spans="1:12" x14ac:dyDescent="0.45">
      <c r="D37" s="108" t="s">
        <v>82</v>
      </c>
      <c r="E37" s="108" t="s">
        <v>66</v>
      </c>
      <c r="F37" s="109">
        <v>2857000</v>
      </c>
      <c r="G37" s="110">
        <f>F37*0.1</f>
        <v>285700</v>
      </c>
      <c r="H37" s="107">
        <f t="shared" ref="H37" si="7">SUM(F37:G37)</f>
        <v>3142700</v>
      </c>
    </row>
    <row r="39" spans="1:12" x14ac:dyDescent="0.45">
      <c r="F39" s="8">
        <f>SUM(F2:F31)</f>
        <v>199857000</v>
      </c>
    </row>
    <row r="40" spans="1:12" x14ac:dyDescent="0.45">
      <c r="E40" s="10" t="s">
        <v>28</v>
      </c>
      <c r="F40" s="11">
        <v>300000000</v>
      </c>
    </row>
    <row r="41" spans="1:12" x14ac:dyDescent="0.45">
      <c r="E41" s="10" t="s">
        <v>29</v>
      </c>
      <c r="F41" s="11">
        <f>F40-F39</f>
        <v>100143000</v>
      </c>
    </row>
  </sheetData>
  <autoFilter ref="A1:L37" xr:uid="{CF96E374-3F86-4A3F-8FAA-3EAA70EA8953}">
    <filterColumn colId="10" showButton="0"/>
  </autoFilter>
  <mergeCells count="7">
    <mergeCell ref="D36:E36"/>
    <mergeCell ref="K1:L1"/>
    <mergeCell ref="A3:A5"/>
    <mergeCell ref="A8:A13"/>
    <mergeCell ref="A15:A18"/>
    <mergeCell ref="A19:A31"/>
    <mergeCell ref="A32:A35"/>
  </mergeCells>
  <phoneticPr fontId="3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P&amp;A 집행 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 Shin</dc:creator>
  <cp:lastModifiedBy>양 준영</cp:lastModifiedBy>
  <dcterms:created xsi:type="dcterms:W3CDTF">2026-05-29T03:20:19Z</dcterms:created>
  <dcterms:modified xsi:type="dcterms:W3CDTF">2026-07-29T05:45:50Z</dcterms:modified>
</cp:coreProperties>
</file>