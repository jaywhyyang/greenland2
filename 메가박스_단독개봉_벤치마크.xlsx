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체" sheetId="2" state="visible" r:id="rId2"/>
    <sheet xmlns:r="http://schemas.openxmlformats.org/officeDocument/2006/relationships" name="신작" sheetId="3" state="visible" r:id="rId3"/>
    <sheet xmlns:r="http://schemas.openxmlformats.org/officeDocument/2006/relationships" name="재개봉·구작" sheetId="4" state="visible" r:id="rId4"/>
    <sheet xmlns:r="http://schemas.openxmlformats.org/officeDocument/2006/relationships" name="인더그레이 밴드" sheetId="5" state="visible" r:id="rId5"/>
  </sheets>
  <definedNames>
    <definedName name="_xlnm._FilterDatabase" localSheetId="1" hidden="1">'전체'!$A$2:$U$149</definedName>
    <definedName name="_xlnm._FilterDatabase" localSheetId="2" hidden="1">'신작'!$A$2:$U$101</definedName>
    <definedName name="_xlnm._FilterDatabase" localSheetId="3" hidden="1">'재개봉·구작'!$A$2:$U$50</definedName>
    <definedName name="_xlnm._FilterDatabase" localSheetId="4" hidden="1">'인더그레이 밴드'!$A$2:$U$8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배&quot;"/>
    <numFmt numFmtId="165" formatCode="0.0%"/>
    <numFmt numFmtId="166" formatCode="#,##0.0"/>
  </numFmts>
  <fonts count="8">
    <font>
      <name val="Calibri"/>
      <family val="2"/>
      <color theme="1"/>
      <sz val="11"/>
      <scheme val="minor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5"/>
    </font>
    <font>
      <name val="Arial"/>
      <color rgb="00808080"/>
      <sz val="9"/>
    </font>
    <font>
      <name val="Arial"/>
      <b val="1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pivotButton="0" quotePrefix="0" xfId="0"/>
    <xf numFmtId="1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4" borderId="1" pivotButton="0" quotePrefix="0" xfId="0"/>
    <xf numFmtId="1" fontId="6" fillId="4" borderId="1" pivotButton="0" quotePrefix="0" xfId="0"/>
    <xf numFmtId="3" fontId="6" fillId="4" borderId="1" pivotButton="0" quotePrefix="0" xfId="0"/>
    <xf numFmtId="164" fontId="6" fillId="4" borderId="1" pivotButton="0" quotePrefix="0" xfId="0"/>
    <xf numFmtId="165" fontId="3" fillId="0" borderId="1" pivotButton="0" quotePrefix="0" xfId="0"/>
    <xf numFmtId="0" fontId="6" fillId="3" borderId="0" pivotButton="0" quotePrefix="0" xfId="0"/>
    <xf numFmtId="0" fontId="2" fillId="2" borderId="1" pivotButton="0" quotePrefix="0" xfId="0"/>
    <xf numFmtId="0" fontId="7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3" fillId="0" borderId="1" pivotButton="0" quotePrefix="0" xfId="0"/>
    <xf numFmtId="0" fontId="3" fillId="3" borderId="1" pivotButton="0" quotePrefix="0" xfId="0"/>
    <xf numFmtId="3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  <xf numFmtId="166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메가박스 단독개봉 벤치마크</t>
        </is>
      </c>
    </row>
    <row r="2">
      <c r="A2" s="2" t="inlineStr">
        <is>
          <t>KOBIS 체인영화관별 상영현황 실측 · 2023-01-02 ~ 2026-08-26 수집</t>
        </is>
      </c>
    </row>
    <row r="3">
      <c r="A3" s="2" t="inlineStr">
        <is>
          <t>모수 147편 (신작 99 / 재개봉·구작 48) — 메가 최대주간 50관 이상</t>
        </is>
      </c>
    </row>
    <row r="5">
      <c r="A5" s="3" t="inlineStr">
        <is>
          <t>세그먼트별 최종 누적관객 (신작)</t>
        </is>
      </c>
    </row>
    <row r="6">
      <c r="A6" s="4" t="inlineStr">
        <is>
          <t>세그먼트</t>
        </is>
      </c>
      <c r="B6" s="4" t="inlineStr">
        <is>
          <t>편수</t>
        </is>
      </c>
      <c r="C6" s="4" t="inlineStr">
        <is>
          <t>최대</t>
        </is>
      </c>
      <c r="D6" s="4" t="inlineStr">
        <is>
          <t>p75</t>
        </is>
      </c>
      <c r="E6" s="4" t="inlineStr">
        <is>
          <t>중앙값</t>
        </is>
      </c>
      <c r="F6" s="4" t="inlineStr">
        <is>
          <t>p25</t>
        </is>
      </c>
      <c r="G6" s="4" t="inlineStr">
        <is>
          <t>배수 중앙값</t>
        </is>
      </c>
    </row>
    <row r="7">
      <c r="A7" s="5" t="inlineStr">
        <is>
          <t>애니메이션</t>
        </is>
      </c>
      <c r="B7" s="6">
        <f>COUNT('신작'!G68:G101)</f>
        <v/>
      </c>
      <c r="C7" s="7">
        <f>MAX('신작'!G68:G101)</f>
        <v/>
      </c>
      <c r="D7" s="7">
        <f>QUARTILE('신작'!G68:G101,3)</f>
        <v/>
      </c>
      <c r="E7" s="7">
        <f>MEDIAN('신작'!G68:G101)</f>
        <v/>
      </c>
      <c r="F7" s="7">
        <f>QUARTILE('신작'!G68:G101,1)</f>
        <v/>
      </c>
      <c r="G7" s="8">
        <f>MEDIAN('신작'!K68:K101)</f>
        <v/>
      </c>
    </row>
    <row r="8">
      <c r="A8" s="5" t="inlineStr">
        <is>
          <t>공연·실황</t>
        </is>
      </c>
      <c r="B8" s="6">
        <f>COUNT('신작'!G3:G12)</f>
        <v/>
      </c>
      <c r="C8" s="7">
        <f>MAX('신작'!G3:G12)</f>
        <v/>
      </c>
      <c r="D8" s="7">
        <f>QUARTILE('신작'!G3:G12,3)</f>
        <v/>
      </c>
      <c r="E8" s="7">
        <f>MEDIAN('신작'!G3:G12)</f>
        <v/>
      </c>
      <c r="F8" s="7">
        <f>QUARTILE('신작'!G3:G12,1)</f>
        <v/>
      </c>
      <c r="G8" s="8">
        <f>MEDIAN('신작'!K3:K12)</f>
        <v/>
      </c>
    </row>
    <row r="9">
      <c r="A9" s="5" t="inlineStr">
        <is>
          <t>실사 외화</t>
        </is>
      </c>
      <c r="B9" s="6">
        <f>COUNT('신작'!G13:G57)</f>
        <v/>
      </c>
      <c r="C9" s="7">
        <f>MAX('신작'!G13:G57)</f>
        <v/>
      </c>
      <c r="D9" s="7">
        <f>QUARTILE('신작'!G13:G57,3)</f>
        <v/>
      </c>
      <c r="E9" s="7">
        <f>MEDIAN('신작'!G13:G57)</f>
        <v/>
      </c>
      <c r="F9" s="7">
        <f>QUARTILE('신작'!G13:G57,1)</f>
        <v/>
      </c>
      <c r="G9" s="8">
        <f>MEDIAN('신작'!K13:K57)</f>
        <v/>
      </c>
    </row>
    <row r="10">
      <c r="A10" s="5" t="inlineStr">
        <is>
          <t>실사 한국</t>
        </is>
      </c>
      <c r="B10" s="6">
        <f>COUNT('신작'!G58:G67)</f>
        <v/>
      </c>
      <c r="C10" s="7">
        <f>MAX('신작'!G58:G67)</f>
        <v/>
      </c>
      <c r="D10" s="7">
        <f>QUARTILE('신작'!G58:G67,3)</f>
        <v/>
      </c>
      <c r="E10" s="7">
        <f>MEDIAN('신작'!G58:G67)</f>
        <v/>
      </c>
      <c r="F10" s="7">
        <f>QUARTILE('신작'!G58:G67,1)</f>
        <v/>
      </c>
      <c r="G10" s="8">
        <f>MEDIAN('신작'!K58:K67)</f>
        <v/>
      </c>
    </row>
    <row r="11">
      <c r="A11" s="9" t="inlineStr">
        <is>
          <t>신작 전체</t>
        </is>
      </c>
      <c r="B11" s="10">
        <f>COUNT('신작'!G3:G101)</f>
        <v/>
      </c>
      <c r="C11" s="11">
        <f>MAX('신작'!G3:G101)</f>
        <v/>
      </c>
      <c r="D11" s="11">
        <f>QUARTILE('신작'!G3:G101,3)</f>
        <v/>
      </c>
      <c r="E11" s="11">
        <f>MEDIAN('신작'!G3:G101)</f>
        <v/>
      </c>
      <c r="F11" s="11">
        <f>QUARTILE('신작'!G3:G101,1)</f>
        <v/>
      </c>
      <c r="G11" s="12">
        <f>MEDIAN('신작'!K3:K101)</f>
        <v/>
      </c>
    </row>
    <row r="13">
      <c r="A13" s="3" t="inlineStr">
        <is>
          <t>개봉일 편성 (신작)</t>
        </is>
      </c>
    </row>
    <row r="14">
      <c r="A14" s="4" t="inlineStr">
        <is>
          <t>세그먼트</t>
        </is>
      </c>
      <c r="B14" s="4" t="inlineStr">
        <is>
          <t>개봉일 좌석 중앙값</t>
        </is>
      </c>
      <c r="C14" s="4" t="inlineStr">
        <is>
          <t>개봉일 스크린 중앙값</t>
        </is>
      </c>
      <c r="D14" s="4" t="inlineStr">
        <is>
          <t>개봉일 좌석판매율 중앙값</t>
        </is>
      </c>
    </row>
    <row r="15">
      <c r="A15" s="5" t="inlineStr">
        <is>
          <t>애니메이션</t>
        </is>
      </c>
      <c r="B15" s="7">
        <f>MEDIAN('신작'!H68:H101)</f>
        <v/>
      </c>
      <c r="C15" s="7">
        <f>MEDIAN('신작'!I68:I101)</f>
        <v/>
      </c>
      <c r="D15" s="13">
        <f>MEDIAN('신작'!L68:L101)</f>
        <v/>
      </c>
    </row>
    <row r="16">
      <c r="A16" s="5" t="inlineStr">
        <is>
          <t>공연·실황</t>
        </is>
      </c>
      <c r="B16" s="7">
        <f>MEDIAN('신작'!H3:H12)</f>
        <v/>
      </c>
      <c r="C16" s="7">
        <f>MEDIAN('신작'!I3:I12)</f>
        <v/>
      </c>
      <c r="D16" s="13">
        <f>MEDIAN('신작'!L3:L12)</f>
        <v/>
      </c>
    </row>
    <row r="17">
      <c r="A17" s="5" t="inlineStr">
        <is>
          <t>실사 외화</t>
        </is>
      </c>
      <c r="B17" s="7">
        <f>MEDIAN('신작'!H13:H57)</f>
        <v/>
      </c>
      <c r="C17" s="7">
        <f>MEDIAN('신작'!I13:I57)</f>
        <v/>
      </c>
      <c r="D17" s="13">
        <f>MEDIAN('신작'!L13:L57)</f>
        <v/>
      </c>
    </row>
    <row r="18">
      <c r="A18" s="5" t="inlineStr">
        <is>
          <t>실사 한국</t>
        </is>
      </c>
      <c r="B18" s="7">
        <f>MEDIAN('신작'!H58:H67)</f>
        <v/>
      </c>
      <c r="C18" s="7">
        <f>MEDIAN('신작'!I58:I67)</f>
        <v/>
      </c>
      <c r="D18" s="13">
        <f>MEDIAN('신작'!L58:L67)</f>
        <v/>
      </c>
    </row>
    <row r="21">
      <c r="A21" s="14" t="inlineStr">
        <is>
          <t>인 더 그레이 밴드 — 실사 외화 × 메가 150관 이상</t>
        </is>
      </c>
    </row>
    <row r="22">
      <c r="A22" s="2" t="inlineStr">
        <is>
          <t>인 더 그레이(2026-09-02 개봉, 우리 수입배급작)의 최근접 comp. 상세는 「인더그레이 밴드」 시트.</t>
        </is>
      </c>
    </row>
    <row r="23">
      <c r="A23" s="15" t="inlineStr">
        <is>
          <t>지표</t>
        </is>
      </c>
      <c r="B23" s="15" t="inlineStr">
        <is>
          <t>값</t>
        </is>
      </c>
    </row>
    <row r="24">
      <c r="A24" s="5" t="inlineStr">
        <is>
          <t>편수</t>
        </is>
      </c>
      <c r="B24" s="6">
        <f>COUNT('인더그레이 밴드'!G3:G8)</f>
        <v/>
      </c>
    </row>
    <row r="25">
      <c r="A25" s="5" t="inlineStr">
        <is>
          <t>최종 최대</t>
        </is>
      </c>
      <c r="B25" s="7">
        <f>MAX('인더그레이 밴드'!G3:G8)</f>
        <v/>
      </c>
    </row>
    <row r="26">
      <c r="A26" s="5" t="inlineStr">
        <is>
          <t>최종 중앙값</t>
        </is>
      </c>
      <c r="B26" s="7">
        <f>MEDIAN('인더그레이 밴드'!G3:G8)</f>
        <v/>
      </c>
    </row>
    <row r="27">
      <c r="A27" s="5" t="inlineStr">
        <is>
          <t>최종 최소</t>
        </is>
      </c>
      <c r="B27" s="7">
        <f>MIN('인더그레이 밴드'!G3:G8)</f>
        <v/>
      </c>
    </row>
    <row r="28">
      <c r="A28" s="5" t="inlineStr">
        <is>
          <t>개봉일 좌석 중앙값</t>
        </is>
      </c>
      <c r="B28" s="7">
        <f>MEDIAN('인더그레이 밴드'!H3:H8)</f>
        <v/>
      </c>
    </row>
    <row r="29">
      <c r="A29" s="5" t="inlineStr">
        <is>
          <t>개봉일 관객 중앙값</t>
        </is>
      </c>
      <c r="B29" s="7">
        <f>MEDIAN('인더그레이 밴드'!J3:J8)</f>
        <v/>
      </c>
    </row>
    <row r="30">
      <c r="A30" s="5" t="inlineStr">
        <is>
          <t>배수 중앙값</t>
        </is>
      </c>
      <c r="B30" s="8">
        <f>MEDIAN('인더그레이 밴드'!K3:K8)</f>
        <v/>
      </c>
    </row>
    <row r="32">
      <c r="A32" s="16" t="inlineStr">
        <is>
          <t>해석 ① 진격의 거인 완결편이 334관 메가박스 단독으로 949,711명 — 단독개봉이라 물리적으로 못 간다는 명제는 성립하지 않는다.</t>
        </is>
      </c>
    </row>
    <row r="33">
      <c r="A33" s="16" t="inlineStr">
        <is>
          <t>해석 ② 실사 외화 천장 63,767은 '단독의 한계'가 아니라, 그 급 수요의 실사 외화가 아직 단독으로 안 왔다는 표본 사실에 가깝다. 밴드는 하한 근거로 쓰고 상단은 열어둘 것.</t>
        </is>
      </c>
    </row>
    <row r="34">
      <c r="A34" s="16" t="inlineStr">
        <is>
          <t>해석 ③ 개봉일 편성(4.5만~6.3만석)은 6편이 비슷한데 최종은 3.7배 갈린다 → 편성 규모보다 개봉일 관객수·첫주 유지율의 판별력이 크다.</t>
        </is>
      </c>
    </row>
    <row r="35">
      <c r="A35" s="16" t="inlineStr">
        <is>
          <t>주의 ① 워페어·극장판 기븐은 상영중이라 최종 아님(노란 행).</t>
        </is>
      </c>
    </row>
    <row r="36">
      <c r="A36" s="16" t="inlineStr">
        <is>
          <t>주의 ② 판정 커버리지는 4대 체인(CGV·롯데시네마·메가박스·씨네Q)뿐 — 독립극장·예술전용관 상영은 보이지 않는다.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0" customWidth="1" min="5" max="5"/>
    <col width="12" customWidth="1" min="6" max="6"/>
    <col width="11" customWidth="1" min="7" max="7"/>
    <col width="12" customWidth="1" min="8" max="8"/>
    <col width="12" customWidth="1" min="9" max="9"/>
    <col width="11" customWidth="1" min="10" max="10"/>
    <col width="12" customWidth="1" min="11" max="11"/>
    <col width="12" customWidth="1" min="12" max="12"/>
    <col width="13" customWidth="1" min="13" max="13"/>
    <col width="10" customWidth="1" min="14" max="14"/>
    <col width="11" customWidth="1" min="15" max="15"/>
    <col width="9" customWidth="1" min="16" max="16"/>
    <col width="12" customWidth="1" min="17" max="17"/>
    <col width="12" customWidth="1" min="18" max="18"/>
    <col width="24" customWidth="1" min="19" max="19"/>
    <col width="9" customWidth="1" min="20" max="20"/>
    <col width="26" customWidth="1" min="21" max="21"/>
  </cols>
  <sheetData>
    <row r="1">
      <c r="A1" s="17" t="inlineStr">
        <is>
          <t>※ 판정: KOBIS 「체인영화관별 상영현황」 실측 — 오리지널 런 구간에서 CGV·롯데 편성 0 &amp; 메가박스 편성 有 (씨네Q 허용, 메가 최대주간 50관 이상). 노란 행 = 상영중이라 최종 아님.</t>
        </is>
      </c>
    </row>
    <row r="2">
      <c r="A2" s="18" t="inlineStr">
        <is>
          <t>영화명</t>
        </is>
      </c>
      <c r="B2" s="18" t="inlineStr">
        <is>
          <t>개봉일</t>
        </is>
      </c>
      <c r="C2" s="18" t="inlineStr">
        <is>
          <t>원개봉일</t>
        </is>
      </c>
      <c r="D2" s="18" t="inlineStr">
        <is>
          <t>구분</t>
        </is>
      </c>
      <c r="E2" s="18" t="inlineStr">
        <is>
          <t>세그먼트</t>
        </is>
      </c>
      <c r="F2" s="18" t="inlineStr">
        <is>
          <t>상영상태</t>
        </is>
      </c>
      <c r="G2" s="18" t="inlineStr">
        <is>
          <t>누적관객</t>
        </is>
      </c>
      <c r="H2" s="18" t="inlineStr">
        <is>
          <t>개봉일좌석수</t>
        </is>
      </c>
      <c r="I2" s="18" t="inlineStr">
        <is>
          <t>개봉일스크린수</t>
        </is>
      </c>
      <c r="J2" s="18" t="inlineStr">
        <is>
          <t>개봉일관객수</t>
        </is>
      </c>
      <c r="K2" s="18" t="inlineStr">
        <is>
          <t>배수(누적÷개봉일좌석)</t>
        </is>
      </c>
      <c r="L2" s="18" t="inlineStr">
        <is>
          <t>개봉일 좌석판매율</t>
        </is>
      </c>
      <c r="M2" s="18" t="inlineStr">
        <is>
          <t>메가최대일간스크린</t>
        </is>
      </c>
      <c r="N2" s="18" t="inlineStr">
        <is>
          <t>평균스크린</t>
        </is>
      </c>
      <c r="O2" s="18" t="inlineStr">
        <is>
          <t>스크린당좌석</t>
        </is>
      </c>
      <c r="P2" s="18" t="inlineStr">
        <is>
          <t>상영주수</t>
        </is>
      </c>
      <c r="Q2" s="18" t="inlineStr">
        <is>
          <t>단독런시작</t>
        </is>
      </c>
      <c r="R2" s="18" t="inlineStr">
        <is>
          <t>단독런종료</t>
        </is>
      </c>
      <c r="S2" s="18" t="inlineStr">
        <is>
          <t>장르</t>
        </is>
      </c>
      <c r="T2" s="18" t="inlineStr">
        <is>
          <t>대표국적</t>
        </is>
      </c>
      <c r="U2" s="18" t="inlineStr">
        <is>
          <t>배급사</t>
        </is>
      </c>
    </row>
    <row r="3">
      <c r="A3" s="5" t="inlineStr">
        <is>
          <t>극장판 진격의 거인 완결편 더 라스트 어택</t>
        </is>
      </c>
      <c r="B3" s="5" t="inlineStr">
        <is>
          <t>2025-03-13</t>
        </is>
      </c>
      <c r="C3" s="5" t="inlineStr">
        <is>
          <t>2025-03-13</t>
        </is>
      </c>
      <c r="D3" s="5" t="inlineStr">
        <is>
          <t>신작</t>
        </is>
      </c>
      <c r="E3" s="5" t="inlineStr">
        <is>
          <t>애니메이션</t>
        </is>
      </c>
      <c r="F3" s="5" t="inlineStr">
        <is>
          <t>종영</t>
        </is>
      </c>
      <c r="G3" s="7" t="n">
        <v>949711</v>
      </c>
      <c r="H3" s="7" t="n">
        <v>116840</v>
      </c>
      <c r="I3" s="7" t="n">
        <v>335</v>
      </c>
      <c r="J3" s="7" t="n">
        <v>37674</v>
      </c>
      <c r="K3" s="8">
        <f>IFERROR(G3/H3,"")</f>
        <v/>
      </c>
      <c r="L3" s="13">
        <f>IFERROR(J3/H3,"")</f>
        <v/>
      </c>
      <c r="M3" s="7" t="n">
        <v>334</v>
      </c>
      <c r="N3" s="19" t="n">
        <v>81.2</v>
      </c>
      <c r="O3" s="19" t="n">
        <v>306</v>
      </c>
      <c r="P3" s="7" t="n">
        <v>35</v>
      </c>
      <c r="Q3" s="5" t="inlineStr">
        <is>
          <t>2025-03-03</t>
        </is>
      </c>
      <c r="R3" s="5" t="inlineStr">
        <is>
          <t>2025-11-02</t>
        </is>
      </c>
      <c r="S3" s="5" t="inlineStr">
        <is>
          <t>애니메이션</t>
        </is>
      </c>
      <c r="T3" s="5" t="inlineStr">
        <is>
          <t>일본</t>
        </is>
      </c>
      <c r="U3" s="5" t="inlineStr">
        <is>
          <t>(주)애니플러스</t>
        </is>
      </c>
    </row>
    <row r="4">
      <c r="A4" s="5" t="inlineStr">
        <is>
          <t>룩백</t>
        </is>
      </c>
      <c r="B4" s="5" t="inlineStr">
        <is>
          <t>2024-09-05</t>
        </is>
      </c>
      <c r="C4" s="5" t="inlineStr">
        <is>
          <t>2024-09-05</t>
        </is>
      </c>
      <c r="D4" s="5" t="inlineStr">
        <is>
          <t>신작</t>
        </is>
      </c>
      <c r="E4" s="5" t="inlineStr">
        <is>
          <t>애니메이션</t>
        </is>
      </c>
      <c r="F4" s="5" t="inlineStr">
        <is>
          <t>종영</t>
        </is>
      </c>
      <c r="G4" s="7" t="n">
        <v>301976</v>
      </c>
      <c r="H4" s="7" t="n">
        <v>116966</v>
      </c>
      <c r="I4" s="7" t="n">
        <v>184</v>
      </c>
      <c r="J4" s="7" t="n">
        <v>16206</v>
      </c>
      <c r="K4" s="8">
        <f>IFERROR(G4/H4,"")</f>
        <v/>
      </c>
      <c r="L4" s="13">
        <f>IFERROR(J4/H4,"")</f>
        <v/>
      </c>
      <c r="M4" s="7" t="n">
        <v>220</v>
      </c>
      <c r="N4" s="19" t="n">
        <v>100.1</v>
      </c>
      <c r="O4" s="19" t="n">
        <v>253</v>
      </c>
      <c r="P4" s="7" t="n">
        <v>19</v>
      </c>
      <c r="Q4" s="5" t="inlineStr">
        <is>
          <t>2024-08-26</t>
        </is>
      </c>
      <c r="R4" s="5" t="inlineStr">
        <is>
          <t>2025-01-05</t>
        </is>
      </c>
      <c r="S4" s="5" t="inlineStr">
        <is>
          <t>애니메이션</t>
        </is>
      </c>
      <c r="T4" s="5" t="inlineStr">
        <is>
          <t>일본</t>
        </is>
      </c>
      <c r="U4" s="5" t="inlineStr">
        <is>
          <t>메가박스중앙(주)</t>
        </is>
      </c>
    </row>
    <row r="5">
      <c r="A5" s="5" t="inlineStr">
        <is>
          <t>러브레터</t>
        </is>
      </c>
      <c r="B5" s="5" t="inlineStr">
        <is>
          <t>2025-01-01</t>
        </is>
      </c>
      <c r="C5" s="5" t="inlineStr">
        <is>
          <t>1999-11-20</t>
        </is>
      </c>
      <c r="D5" s="5" t="inlineStr">
        <is>
          <t>재개봉/구작</t>
        </is>
      </c>
      <c r="E5" s="5" t="inlineStr">
        <is>
          <t>실사 외화</t>
        </is>
      </c>
      <c r="F5" s="5" t="inlineStr">
        <is>
          <t>종영</t>
        </is>
      </c>
      <c r="G5" s="7" t="n">
        <v>116561</v>
      </c>
      <c r="H5" s="7" t="n">
        <v>35619</v>
      </c>
      <c r="I5" s="7" t="n">
        <v>181</v>
      </c>
      <c r="J5" s="7" t="n">
        <v>14957</v>
      </c>
      <c r="K5" s="8">
        <f>IFERROR(G5/H5,"")</f>
        <v/>
      </c>
      <c r="L5" s="13">
        <f>IFERROR(J5/H5,"")</f>
        <v/>
      </c>
      <c r="M5" s="7" t="n">
        <v>169</v>
      </c>
      <c r="N5" s="19" t="n">
        <v>70.40000000000001</v>
      </c>
      <c r="O5" s="19" t="n">
        <v>188</v>
      </c>
      <c r="P5" s="7" t="n">
        <v>13</v>
      </c>
      <c r="Q5" s="5" t="inlineStr">
        <is>
          <t>2024-12-23</t>
        </is>
      </c>
      <c r="R5" s="5" t="inlineStr">
        <is>
          <t>2025-03-23</t>
        </is>
      </c>
      <c r="S5" s="5" t="inlineStr">
        <is>
          <t>멜로/로맨스,드라마</t>
        </is>
      </c>
      <c r="T5" s="5" t="inlineStr">
        <is>
          <t>일본</t>
        </is>
      </c>
      <c r="U5" s="5" t="inlineStr">
        <is>
          <t>워터홀컴퍼니(주),주식회사 왓챠,와이드 릴리즈(주),(주)제이앤씨미디어그룹,(유)조이앤시네마,(주)팝엔터테인먼트</t>
        </is>
      </c>
    </row>
    <row r="6">
      <c r="A6" s="5" t="inlineStr">
        <is>
          <t>프랑켄슈타인 : 더 뮤지컬 라이브</t>
        </is>
      </c>
      <c r="B6" s="5" t="inlineStr">
        <is>
          <t>2025-09-18</t>
        </is>
      </c>
      <c r="C6" s="5" t="inlineStr">
        <is>
          <t>2025-09-18</t>
        </is>
      </c>
      <c r="D6" s="5" t="inlineStr">
        <is>
          <t>신작</t>
        </is>
      </c>
      <c r="E6" s="5" t="inlineStr">
        <is>
          <t>공연·실황</t>
        </is>
      </c>
      <c r="F6" s="5" t="inlineStr">
        <is>
          <t>종영</t>
        </is>
      </c>
      <c r="G6" s="7" t="n">
        <v>93574</v>
      </c>
      <c r="H6" s="7" t="n">
        <v>20923</v>
      </c>
      <c r="I6" s="7" t="n">
        <v>19</v>
      </c>
      <c r="J6" s="7" t="n">
        <v>4789</v>
      </c>
      <c r="K6" s="8">
        <f>IFERROR(G6/H6,"")</f>
        <v/>
      </c>
      <c r="L6" s="13">
        <f>IFERROR(J6/H6,"")</f>
        <v/>
      </c>
      <c r="M6" s="7" t="n">
        <v>141</v>
      </c>
      <c r="N6" s="19" t="n">
        <v>47.1</v>
      </c>
      <c r="O6" s="19" t="n">
        <v>219</v>
      </c>
      <c r="P6" s="7" t="n">
        <v>14</v>
      </c>
      <c r="Q6" s="5" t="inlineStr">
        <is>
          <t>2025-09-08</t>
        </is>
      </c>
      <c r="R6" s="5" t="inlineStr">
        <is>
          <t>2025-12-14</t>
        </is>
      </c>
      <c r="S6" s="5" t="inlineStr">
        <is>
          <t>공연</t>
        </is>
      </c>
      <c r="T6" s="5" t="inlineStr">
        <is>
          <t>한국</t>
        </is>
      </c>
      <c r="U6" s="5" t="inlineStr">
        <is>
          <t>(주)위즈온센,메가박스중앙(주)</t>
        </is>
      </c>
    </row>
    <row r="7">
      <c r="A7" s="5" t="inlineStr">
        <is>
          <t>극장판 프로젝트 세카이 부서진 세카이와 전해지지 않는 미쿠의 노래</t>
        </is>
      </c>
      <c r="B7" s="5" t="inlineStr">
        <is>
          <t>2025-05-29</t>
        </is>
      </c>
      <c r="C7" s="5" t="inlineStr">
        <is>
          <t>2025-05-29</t>
        </is>
      </c>
      <c r="D7" s="5" t="inlineStr">
        <is>
          <t>신작</t>
        </is>
      </c>
      <c r="E7" s="5" t="inlineStr">
        <is>
          <t>애니메이션</t>
        </is>
      </c>
      <c r="F7" s="5" t="inlineStr">
        <is>
          <t>종영</t>
        </is>
      </c>
      <c r="G7" s="7" t="n">
        <v>82581</v>
      </c>
      <c r="H7" s="7" t="n">
        <v>43901</v>
      </c>
      <c r="I7" s="7" t="n">
        <v>158</v>
      </c>
      <c r="J7" s="7" t="n">
        <v>7510</v>
      </c>
      <c r="K7" s="8">
        <f>IFERROR(G7/H7,"")</f>
        <v/>
      </c>
      <c r="L7" s="13">
        <f>IFERROR(J7/H7,"")</f>
        <v/>
      </c>
      <c r="M7" s="7" t="n">
        <v>157</v>
      </c>
      <c r="N7" s="19" t="n">
        <v>48</v>
      </c>
      <c r="O7" s="19" t="n">
        <v>160</v>
      </c>
      <c r="P7" s="7" t="n">
        <v>15</v>
      </c>
      <c r="Q7" s="5" t="inlineStr">
        <is>
          <t>2025-05-26</t>
        </is>
      </c>
      <c r="R7" s="5" t="inlineStr">
        <is>
          <t>2025-09-07</t>
        </is>
      </c>
      <c r="S7" s="5" t="inlineStr">
        <is>
          <t>애니메이션</t>
        </is>
      </c>
      <c r="T7" s="5" t="inlineStr">
        <is>
          <t>일본</t>
        </is>
      </c>
      <c r="U7" s="5" t="inlineStr">
        <is>
          <t>(주)애니플러스</t>
        </is>
      </c>
    </row>
    <row r="8">
      <c r="A8" s="5" t="inlineStr">
        <is>
          <t>우마무스메 프리티 더비 새로운 시대의 문</t>
        </is>
      </c>
      <c r="B8" s="5" t="inlineStr">
        <is>
          <t>2024-07-11</t>
        </is>
      </c>
      <c r="C8" s="5" t="inlineStr">
        <is>
          <t>2024-07-11</t>
        </is>
      </c>
      <c r="D8" s="5" t="inlineStr">
        <is>
          <t>신작</t>
        </is>
      </c>
      <c r="E8" s="5" t="inlineStr">
        <is>
          <t>애니메이션</t>
        </is>
      </c>
      <c r="F8" s="5" t="inlineStr">
        <is>
          <t>종영</t>
        </is>
      </c>
      <c r="G8" s="7" t="n">
        <v>64612</v>
      </c>
      <c r="H8" s="7" t="n">
        <v>37649</v>
      </c>
      <c r="I8" s="7" t="n">
        <v>127</v>
      </c>
      <c r="J8" s="7" t="n">
        <v>6421</v>
      </c>
      <c r="K8" s="8">
        <f>IFERROR(G8/H8,"")</f>
        <v/>
      </c>
      <c r="L8" s="13">
        <f>IFERROR(J8/H8,"")</f>
        <v/>
      </c>
      <c r="M8" s="7" t="n">
        <v>126</v>
      </c>
      <c r="N8" s="19" t="n">
        <v>51</v>
      </c>
      <c r="O8" s="19" t="n">
        <v>177</v>
      </c>
      <c r="P8" s="7" t="n">
        <v>11</v>
      </c>
      <c r="Q8" s="5" t="inlineStr">
        <is>
          <t>2024-07-01</t>
        </is>
      </c>
      <c r="R8" s="5" t="inlineStr">
        <is>
          <t>2024-09-15</t>
        </is>
      </c>
      <c r="S8" s="5" t="inlineStr">
        <is>
          <t>애니메이션</t>
        </is>
      </c>
      <c r="T8" s="5" t="inlineStr">
        <is>
          <t>일본</t>
        </is>
      </c>
      <c r="U8" s="5" t="inlineStr">
        <is>
          <t>(주)애니플러스</t>
        </is>
      </c>
    </row>
    <row r="9">
      <c r="A9" s="5" t="inlineStr">
        <is>
          <t>머티리얼리스트</t>
        </is>
      </c>
      <c r="B9" s="5" t="inlineStr">
        <is>
          <t>2025-08-08</t>
        </is>
      </c>
      <c r="C9" s="5" t="inlineStr">
        <is>
          <t>2025-08-08</t>
        </is>
      </c>
      <c r="D9" s="5" t="inlineStr">
        <is>
          <t>신작</t>
        </is>
      </c>
      <c r="E9" s="5" t="inlineStr">
        <is>
          <t>실사 외화</t>
        </is>
      </c>
      <c r="F9" s="5" t="inlineStr">
        <is>
          <t>종영</t>
        </is>
      </c>
      <c r="G9" s="7" t="n">
        <v>63767</v>
      </c>
      <c r="H9" s="7" t="n">
        <v>62670</v>
      </c>
      <c r="I9" s="7" t="n">
        <v>166</v>
      </c>
      <c r="J9" s="7" t="n">
        <v>7585</v>
      </c>
      <c r="K9" s="8">
        <f>IFERROR(G9/H9,"")</f>
        <v/>
      </c>
      <c r="L9" s="13">
        <f>IFERROR(J9/H9,"")</f>
        <v/>
      </c>
      <c r="M9" s="7" t="n">
        <v>157</v>
      </c>
      <c r="N9" s="19" t="n">
        <v>63.6</v>
      </c>
      <c r="O9" s="19" t="n">
        <v>213</v>
      </c>
      <c r="P9" s="7" t="n">
        <v>9</v>
      </c>
      <c r="Q9" s="5" t="inlineStr">
        <is>
          <t>2025-07-28</t>
        </is>
      </c>
      <c r="R9" s="5" t="inlineStr">
        <is>
          <t>2025-09-28</t>
        </is>
      </c>
      <c r="S9" s="5" t="inlineStr">
        <is>
          <t>멜로/로맨스,코미디</t>
        </is>
      </c>
      <c r="T9" s="5" t="inlineStr">
        <is>
          <t>미국</t>
        </is>
      </c>
      <c r="U9" s="5" t="inlineStr">
        <is>
          <t>소니픽쳐스엔터테인먼트코리아주식회사극장배급지점</t>
        </is>
      </c>
    </row>
    <row r="10">
      <c r="A10" s="5" t="inlineStr">
        <is>
          <t>라스트 마일</t>
        </is>
      </c>
      <c r="B10" s="5" t="inlineStr">
        <is>
          <t>2025-03-26</t>
        </is>
      </c>
      <c r="C10" s="5" t="inlineStr">
        <is>
          <t>2025-03-26</t>
        </is>
      </c>
      <c r="D10" s="5" t="inlineStr">
        <is>
          <t>신작</t>
        </is>
      </c>
      <c r="E10" s="5" t="inlineStr">
        <is>
          <t>실사 외화</t>
        </is>
      </c>
      <c r="F10" s="5" t="inlineStr">
        <is>
          <t>종영</t>
        </is>
      </c>
      <c r="G10" s="7" t="n">
        <v>53013</v>
      </c>
      <c r="H10" s="7" t="n">
        <v>42700</v>
      </c>
      <c r="I10" s="7" t="n">
        <v>148</v>
      </c>
      <c r="J10" s="7" t="n">
        <v>4031</v>
      </c>
      <c r="K10" s="8">
        <f>IFERROR(G10/H10,"")</f>
        <v/>
      </c>
      <c r="L10" s="13">
        <f>IFERROR(J10/H10,"")</f>
        <v/>
      </c>
      <c r="M10" s="7" t="n">
        <v>147</v>
      </c>
      <c r="N10" s="19" t="n">
        <v>49.9</v>
      </c>
      <c r="O10" s="19" t="n">
        <v>202</v>
      </c>
      <c r="P10" s="7" t="n">
        <v>11</v>
      </c>
      <c r="Q10" s="5" t="inlineStr">
        <is>
          <t>2025-03-17</t>
        </is>
      </c>
      <c r="R10" s="5" t="inlineStr">
        <is>
          <t>2025-06-01</t>
        </is>
      </c>
      <c r="S10" s="5" t="inlineStr">
        <is>
          <t>스릴러,드라마</t>
        </is>
      </c>
      <c r="T10" s="5" t="inlineStr">
        <is>
          <t>일본</t>
        </is>
      </c>
      <c r="U10" s="5" t="inlineStr">
        <is>
          <t>(주)엠디에스스피어</t>
        </is>
      </c>
    </row>
    <row r="11">
      <c r="A11" s="5" t="inlineStr">
        <is>
          <t>첫 번째 키스</t>
        </is>
      </c>
      <c r="B11" s="5" t="inlineStr">
        <is>
          <t>2025-02-26</t>
        </is>
      </c>
      <c r="C11" s="5" t="inlineStr">
        <is>
          <t>2025-02-26</t>
        </is>
      </c>
      <c r="D11" s="5" t="inlineStr">
        <is>
          <t>신작</t>
        </is>
      </c>
      <c r="E11" s="5" t="inlineStr">
        <is>
          <t>실사 외화</t>
        </is>
      </c>
      <c r="F11" s="5" t="inlineStr">
        <is>
          <t>종영</t>
        </is>
      </c>
      <c r="G11" s="7" t="n">
        <v>49143</v>
      </c>
      <c r="H11" s="7" t="n">
        <v>61274</v>
      </c>
      <c r="I11" s="7" t="n">
        <v>184</v>
      </c>
      <c r="J11" s="7" t="n">
        <v>6199</v>
      </c>
      <c r="K11" s="8">
        <f>IFERROR(G11/H11,"")</f>
        <v/>
      </c>
      <c r="L11" s="13">
        <f>IFERROR(J11/H11,"")</f>
        <v/>
      </c>
      <c r="M11" s="7" t="n">
        <v>178</v>
      </c>
      <c r="N11" s="19" t="n">
        <v>64.2</v>
      </c>
      <c r="O11" s="19" t="n">
        <v>208</v>
      </c>
      <c r="P11" s="7" t="n">
        <v>8</v>
      </c>
      <c r="Q11" s="5" t="inlineStr">
        <is>
          <t>2025-02-24</t>
        </is>
      </c>
      <c r="R11" s="5" t="inlineStr">
        <is>
          <t>2025-04-20</t>
        </is>
      </c>
      <c r="S11" s="5" t="inlineStr">
        <is>
          <t>드라마,멜로/로맨스</t>
        </is>
      </c>
      <c r="T11" s="5" t="inlineStr">
        <is>
          <t>일본</t>
        </is>
      </c>
      <c r="U11" s="5" t="inlineStr">
        <is>
          <t>메가박스중앙(주)</t>
        </is>
      </c>
    </row>
    <row r="12">
      <c r="A12" s="5" t="inlineStr">
        <is>
          <t>엘리자벳: 더 뮤지컬 라이브</t>
        </is>
      </c>
      <c r="B12" s="5" t="inlineStr">
        <is>
          <t>2024-10-16</t>
        </is>
      </c>
      <c r="C12" s="5" t="inlineStr">
        <is>
          <t>2024-10-16</t>
        </is>
      </c>
      <c r="D12" s="5" t="inlineStr">
        <is>
          <t>신작</t>
        </is>
      </c>
      <c r="E12" s="5" t="inlineStr">
        <is>
          <t>공연·실황</t>
        </is>
      </c>
      <c r="F12" s="5" t="inlineStr">
        <is>
          <t>종영</t>
        </is>
      </c>
      <c r="G12" s="7" t="n">
        <v>47522</v>
      </c>
      <c r="H12" s="7" t="n">
        <v>19245</v>
      </c>
      <c r="I12" s="7" t="n">
        <v>18</v>
      </c>
      <c r="J12" s="7" t="n">
        <v>2659</v>
      </c>
      <c r="K12" s="8">
        <f>IFERROR(G12/H12,"")</f>
        <v/>
      </c>
      <c r="L12" s="13">
        <f>IFERROR(J12/H12,"")</f>
        <v/>
      </c>
      <c r="M12" s="7" t="n">
        <v>118</v>
      </c>
      <c r="N12" s="19" t="n">
        <v>57.3</v>
      </c>
      <c r="O12" s="19" t="n">
        <v>219</v>
      </c>
      <c r="P12" s="7" t="n">
        <v>8</v>
      </c>
      <c r="Q12" s="5" t="inlineStr">
        <is>
          <t>2024-10-14</t>
        </is>
      </c>
      <c r="R12" s="5" t="inlineStr">
        <is>
          <t>2024-12-08</t>
        </is>
      </c>
      <c r="S12" s="5" t="inlineStr">
        <is>
          <t>공연,뮤지컬</t>
        </is>
      </c>
      <c r="T12" s="5" t="inlineStr">
        <is>
          <t>한국</t>
        </is>
      </c>
      <c r="U12" s="5" t="inlineStr">
        <is>
          <t>(주)위즈온센,메가박스중앙(주)</t>
        </is>
      </c>
    </row>
    <row r="13">
      <c r="A13" s="5" t="inlineStr">
        <is>
          <t>극장판 아이돌리쉬 세븐; 라이브 4비트 비욘드 더 피리어드 - 데이 2</t>
        </is>
      </c>
      <c r="B13" s="5" t="inlineStr">
        <is>
          <t>2023-10-19</t>
        </is>
      </c>
      <c r="C13" s="5" t="inlineStr">
        <is>
          <t>2023-10-19</t>
        </is>
      </c>
      <c r="D13" s="5" t="inlineStr">
        <is>
          <t>신작</t>
        </is>
      </c>
      <c r="E13" s="5" t="inlineStr">
        <is>
          <t>애니메이션</t>
        </is>
      </c>
      <c r="F13" s="5" t="inlineStr">
        <is>
          <t>종영</t>
        </is>
      </c>
      <c r="G13" s="7" t="n">
        <v>46677</v>
      </c>
      <c r="H13" s="7" t="n">
        <v>10330</v>
      </c>
      <c r="I13" s="7" t="n">
        <v>78</v>
      </c>
      <c r="J13" s="7" t="n">
        <v>1155</v>
      </c>
      <c r="K13" s="8">
        <f>IFERROR(G13/H13,"")</f>
        <v/>
      </c>
      <c r="L13" s="13">
        <f>IFERROR(J13/H13,"")</f>
        <v/>
      </c>
      <c r="M13" s="7" t="n">
        <v>78</v>
      </c>
      <c r="N13" s="19" t="n">
        <v>8.199999999999999</v>
      </c>
      <c r="O13" s="19" t="n">
        <v>158</v>
      </c>
      <c r="P13" s="7" t="n">
        <v>47</v>
      </c>
      <c r="Q13" s="5" t="inlineStr">
        <is>
          <t>2023-10-09</t>
        </is>
      </c>
      <c r="R13" s="5" t="inlineStr">
        <is>
          <t>2024-09-01</t>
        </is>
      </c>
      <c r="S13" s="5" t="inlineStr">
        <is>
          <t>애니메이션</t>
        </is>
      </c>
      <c r="T13" s="5" t="inlineStr">
        <is>
          <t>일본</t>
        </is>
      </c>
      <c r="U13" s="5" t="inlineStr">
        <is>
          <t>메가박스중앙(주)</t>
        </is>
      </c>
    </row>
    <row r="14">
      <c r="A14" s="5" t="inlineStr">
        <is>
          <t>쇼생크 탈출</t>
        </is>
      </c>
      <c r="B14" s="5" t="inlineStr">
        <is>
          <t>2024-05-08</t>
        </is>
      </c>
      <c r="C14" s="5" t="inlineStr">
        <is>
          <t>1995-02-04</t>
        </is>
      </c>
      <c r="D14" s="5" t="inlineStr">
        <is>
          <t>재개봉/구작</t>
        </is>
      </c>
      <c r="E14" s="5" t="inlineStr">
        <is>
          <t>실사 외화</t>
        </is>
      </c>
      <c r="F14" s="5" t="inlineStr">
        <is>
          <t>종영</t>
        </is>
      </c>
      <c r="G14" s="7" t="n">
        <v>46108</v>
      </c>
      <c r="H14" s="7" t="n">
        <v>36526</v>
      </c>
      <c r="I14" s="7" t="n">
        <v>123</v>
      </c>
      <c r="J14" s="7" t="n">
        <v>5972</v>
      </c>
      <c r="K14" s="8">
        <f>IFERROR(G14/H14,"")</f>
        <v/>
      </c>
      <c r="L14" s="13">
        <f>IFERROR(J14/H14,"")</f>
        <v/>
      </c>
      <c r="M14" s="7" t="n">
        <v>107</v>
      </c>
      <c r="N14" s="19" t="n">
        <v>36.3</v>
      </c>
      <c r="O14" s="19" t="n">
        <v>206</v>
      </c>
      <c r="P14" s="7" t="n">
        <v>11</v>
      </c>
      <c r="Q14" s="5" t="inlineStr">
        <is>
          <t>2024-04-29</t>
        </is>
      </c>
      <c r="R14" s="5" t="inlineStr">
        <is>
          <t>2024-07-14</t>
        </is>
      </c>
      <c r="S14" s="5" t="inlineStr">
        <is>
          <t>드라마</t>
        </is>
      </c>
      <c r="T14" s="5" t="inlineStr">
        <is>
          <t>미국</t>
        </is>
      </c>
      <c r="U14" s="5" t="inlineStr">
        <is>
          <t>롯데컬처웍스(주)롯데시네마,(주)팝엔터테인먼트,THE 픽쳐스</t>
        </is>
      </c>
    </row>
    <row r="15">
      <c r="A15" s="5" t="inlineStr">
        <is>
          <t>기동전사 건담 지쿠악스 비기닝</t>
        </is>
      </c>
      <c r="B15" s="5" t="inlineStr">
        <is>
          <t>2025-04-02</t>
        </is>
      </c>
      <c r="C15" s="5" t="inlineStr">
        <is>
          <t>2025-04-02</t>
        </is>
      </c>
      <c r="D15" s="5" t="inlineStr">
        <is>
          <t>신작</t>
        </is>
      </c>
      <c r="E15" s="5" t="inlineStr">
        <is>
          <t>애니메이션</t>
        </is>
      </c>
      <c r="F15" s="5" t="inlineStr">
        <is>
          <t>종영</t>
        </is>
      </c>
      <c r="G15" s="7" t="n">
        <v>42588</v>
      </c>
      <c r="H15" s="7" t="n">
        <v>53964</v>
      </c>
      <c r="I15" s="7" t="n">
        <v>174</v>
      </c>
      <c r="J15" s="7" t="n">
        <v>3325</v>
      </c>
      <c r="K15" s="8">
        <f>IFERROR(G15/H15,"")</f>
        <v/>
      </c>
      <c r="L15" s="13">
        <f>IFERROR(J15/H15,"")</f>
        <v/>
      </c>
      <c r="M15" s="7" t="n">
        <v>173</v>
      </c>
      <c r="N15" s="19" t="n">
        <v>59.8</v>
      </c>
      <c r="O15" s="19" t="n">
        <v>183</v>
      </c>
      <c r="P15" s="7" t="n">
        <v>10</v>
      </c>
      <c r="Q15" s="5" t="inlineStr">
        <is>
          <t>2025-03-24</t>
        </is>
      </c>
      <c r="R15" s="5" t="inlineStr">
        <is>
          <t>2025-06-01</t>
        </is>
      </c>
      <c r="S15" s="5" t="inlineStr">
        <is>
          <t>애니메이션</t>
        </is>
      </c>
      <c r="T15" s="5" t="inlineStr">
        <is>
          <t>일본</t>
        </is>
      </c>
      <c r="U15" s="5" t="inlineStr">
        <is>
          <t>워터홀컴퍼니(주)</t>
        </is>
      </c>
    </row>
    <row r="16">
      <c r="A16" s="5" t="inlineStr">
        <is>
          <t>룸 넥스트 도어</t>
        </is>
      </c>
      <c r="B16" s="5" t="inlineStr">
        <is>
          <t>2024-10-23</t>
        </is>
      </c>
      <c r="C16" s="5" t="inlineStr">
        <is>
          <t>2024-10-23</t>
        </is>
      </c>
      <c r="D16" s="5" t="inlineStr">
        <is>
          <t>신작</t>
        </is>
      </c>
      <c r="E16" s="5" t="inlineStr">
        <is>
          <t>실사 외화</t>
        </is>
      </c>
      <c r="F16" s="5" t="inlineStr">
        <is>
          <t>종영</t>
        </is>
      </c>
      <c r="G16" s="7" t="n">
        <v>42542</v>
      </c>
      <c r="H16" s="7" t="n">
        <v>45842</v>
      </c>
      <c r="I16" s="7" t="n">
        <v>151</v>
      </c>
      <c r="J16" s="7" t="n">
        <v>1952</v>
      </c>
      <c r="K16" s="8">
        <f>IFERROR(G16/H16,"")</f>
        <v/>
      </c>
      <c r="L16" s="13">
        <f>IFERROR(J16/H16,"")</f>
        <v/>
      </c>
      <c r="M16" s="7" t="n">
        <v>130</v>
      </c>
      <c r="N16" s="19" t="n">
        <v>48.2</v>
      </c>
      <c r="O16" s="19" t="n">
        <v>207</v>
      </c>
      <c r="P16" s="7" t="n">
        <v>10</v>
      </c>
      <c r="Q16" s="5" t="inlineStr">
        <is>
          <t>2024-10-07</t>
        </is>
      </c>
      <c r="R16" s="5" t="inlineStr">
        <is>
          <t>2024-12-15</t>
        </is>
      </c>
      <c r="S16" s="5" t="inlineStr">
        <is>
          <t>드라마</t>
        </is>
      </c>
      <c r="T16" s="5" t="inlineStr">
        <is>
          <t>미국</t>
        </is>
      </c>
      <c r="U16" s="5" t="inlineStr">
        <is>
          <t>워너브러더스 코리아(주)</t>
        </is>
      </c>
    </row>
    <row r="17">
      <c r="A17" s="5" t="inlineStr">
        <is>
          <t>극장판 아이돌리쉬 세븐; 라이브 4비트 비욘드 더 피리어드 - 데이 1</t>
        </is>
      </c>
      <c r="B17" s="5" t="inlineStr">
        <is>
          <t>2023-10-19</t>
        </is>
      </c>
      <c r="C17" s="5" t="inlineStr">
        <is>
          <t>2023-10-19</t>
        </is>
      </c>
      <c r="D17" s="5" t="inlineStr">
        <is>
          <t>신작</t>
        </is>
      </c>
      <c r="E17" s="5" t="inlineStr">
        <is>
          <t>애니메이션</t>
        </is>
      </c>
      <c r="F17" s="5" t="inlineStr">
        <is>
          <t>종영</t>
        </is>
      </c>
      <c r="G17" s="7" t="n">
        <v>32868</v>
      </c>
      <c r="H17" s="7" t="n">
        <v>10355</v>
      </c>
      <c r="I17" s="7" t="n">
        <v>79</v>
      </c>
      <c r="J17" s="7" t="n">
        <v>1023</v>
      </c>
      <c r="K17" s="8">
        <f>IFERROR(G17/H17,"")</f>
        <v/>
      </c>
      <c r="L17" s="13">
        <f>IFERROR(J17/H17,"")</f>
        <v/>
      </c>
      <c r="M17" s="7" t="n">
        <v>79</v>
      </c>
      <c r="N17" s="19" t="n">
        <v>7.5</v>
      </c>
      <c r="O17" s="19" t="n">
        <v>159</v>
      </c>
      <c r="P17" s="7" t="n">
        <v>48</v>
      </c>
      <c r="Q17" s="5" t="inlineStr">
        <is>
          <t>2023-10-09</t>
        </is>
      </c>
      <c r="R17" s="5" t="inlineStr">
        <is>
          <t>2024-09-08</t>
        </is>
      </c>
      <c r="S17" s="5" t="inlineStr">
        <is>
          <t>애니메이션</t>
        </is>
      </c>
      <c r="T17" s="5" t="inlineStr">
        <is>
          <t>일본</t>
        </is>
      </c>
      <c r="U17" s="5" t="inlineStr">
        <is>
          <t>메가박스중앙(주)</t>
        </is>
      </c>
    </row>
    <row r="18">
      <c r="A18" s="5" t="inlineStr">
        <is>
          <t>엔드 오브 에반게리온</t>
        </is>
      </c>
      <c r="B18" s="5" t="inlineStr">
        <is>
          <t>2024-01-17</t>
        </is>
      </c>
      <c r="C18" s="5" t="inlineStr">
        <is>
          <t>2024-01-17</t>
        </is>
      </c>
      <c r="D18" s="5" t="inlineStr">
        <is>
          <t>신작</t>
        </is>
      </c>
      <c r="E18" s="5" t="inlineStr">
        <is>
          <t>애니메이션</t>
        </is>
      </c>
      <c r="F18" s="5" t="inlineStr">
        <is>
          <t>종영</t>
        </is>
      </c>
      <c r="G18" s="7" t="n">
        <v>32443</v>
      </c>
      <c r="H18" s="7" t="n">
        <v>32338</v>
      </c>
      <c r="I18" s="7" t="n">
        <v>109</v>
      </c>
      <c r="J18" s="7" t="n">
        <v>6323</v>
      </c>
      <c r="K18" s="8">
        <f>IFERROR(G18/H18,"")</f>
        <v/>
      </c>
      <c r="L18" s="13">
        <f>IFERROR(J18/H18,"")</f>
        <v/>
      </c>
      <c r="M18" s="7" t="n">
        <v>122</v>
      </c>
      <c r="N18" s="19" t="n">
        <v>46.7</v>
      </c>
      <c r="O18" s="19" t="n">
        <v>207</v>
      </c>
      <c r="P18" s="7" t="n">
        <v>7</v>
      </c>
      <c r="Q18" s="5" t="inlineStr">
        <is>
          <t>2024-01-15</t>
        </is>
      </c>
      <c r="R18" s="5" t="inlineStr">
        <is>
          <t>2024-03-03</t>
        </is>
      </c>
      <c r="S18" s="5" t="inlineStr">
        <is>
          <t>애니메이션</t>
        </is>
      </c>
      <c r="T18" s="5" t="inlineStr">
        <is>
          <t>일본</t>
        </is>
      </c>
      <c r="U18" s="5" t="inlineStr">
        <is>
          <t>(주)삼백상회,(주)라이크콘텐츠</t>
        </is>
      </c>
    </row>
    <row r="19">
      <c r="A19" s="5" t="inlineStr">
        <is>
          <t>라이언 일병 구하기</t>
        </is>
      </c>
      <c r="B19" s="5" t="inlineStr">
        <is>
          <t>2025-06-25</t>
        </is>
      </c>
      <c r="C19" s="5" t="inlineStr">
        <is>
          <t>1998-09-12</t>
        </is>
      </c>
      <c r="D19" s="5" t="inlineStr">
        <is>
          <t>재개봉/구작</t>
        </is>
      </c>
      <c r="E19" s="5" t="inlineStr">
        <is>
          <t>실사 외화</t>
        </is>
      </c>
      <c r="F19" s="5" t="inlineStr">
        <is>
          <t>종영</t>
        </is>
      </c>
      <c r="G19" s="7" t="n">
        <v>31942</v>
      </c>
      <c r="H19" s="7" t="n">
        <v>38304</v>
      </c>
      <c r="I19" s="7" t="n">
        <v>163</v>
      </c>
      <c r="J19" s="7" t="n">
        <v>3958</v>
      </c>
      <c r="K19" s="8">
        <f>IFERROR(G19/H19,"")</f>
        <v/>
      </c>
      <c r="L19" s="13">
        <f>IFERROR(J19/H19,"")</f>
        <v/>
      </c>
      <c r="M19" s="7" t="n">
        <v>160</v>
      </c>
      <c r="N19" s="19" t="n">
        <v>42.7</v>
      </c>
      <c r="O19" s="19" t="n">
        <v>164</v>
      </c>
      <c r="P19" s="7" t="n">
        <v>10</v>
      </c>
      <c r="Q19" s="5" t="inlineStr">
        <is>
          <t>2025-06-16</t>
        </is>
      </c>
      <c r="R19" s="5" t="inlineStr">
        <is>
          <t>2025-08-24</t>
        </is>
      </c>
      <c r="S19" s="5" t="inlineStr">
        <is>
          <t>드라마,액션,전쟁</t>
        </is>
      </c>
      <c r="T19" s="5" t="inlineStr">
        <is>
          <t>미국</t>
        </is>
      </c>
      <c r="U19" s="5" t="inlineStr">
        <is>
          <t>와이드 릴리즈(주)</t>
        </is>
      </c>
    </row>
    <row r="20">
      <c r="A20" s="5" t="inlineStr">
        <is>
          <t>극장판 닌자보이 란타로: 도쿠타케 닌자대 최강의 군사</t>
        </is>
      </c>
      <c r="B20" s="5" t="inlineStr">
        <is>
          <t>2025-05-14</t>
        </is>
      </c>
      <c r="C20" s="5" t="inlineStr">
        <is>
          <t>2025-05-14</t>
        </is>
      </c>
      <c r="D20" s="5" t="inlineStr">
        <is>
          <t>신작</t>
        </is>
      </c>
      <c r="E20" s="5" t="inlineStr">
        <is>
          <t>애니메이션</t>
        </is>
      </c>
      <c r="F20" s="5" t="inlineStr">
        <is>
          <t>종영</t>
        </is>
      </c>
      <c r="G20" s="7" t="n">
        <v>30800</v>
      </c>
      <c r="H20" s="7" t="n">
        <v>31563</v>
      </c>
      <c r="I20" s="7" t="n">
        <v>136</v>
      </c>
      <c r="J20" s="7" t="n">
        <v>2001</v>
      </c>
      <c r="K20" s="8">
        <f>IFERROR(G20/H20,"")</f>
        <v/>
      </c>
      <c r="L20" s="13">
        <f>IFERROR(J20/H20,"")</f>
        <v/>
      </c>
      <c r="M20" s="7" t="n">
        <v>135</v>
      </c>
      <c r="N20" s="19" t="n">
        <v>44.6</v>
      </c>
      <c r="O20" s="19" t="n">
        <v>142</v>
      </c>
      <c r="P20" s="7" t="n">
        <v>10</v>
      </c>
      <c r="Q20" s="5" t="inlineStr">
        <is>
          <t>2025-05-05</t>
        </is>
      </c>
      <c r="R20" s="5" t="inlineStr">
        <is>
          <t>2025-07-13</t>
        </is>
      </c>
      <c r="S20" s="5" t="inlineStr">
        <is>
          <t>애니메이션</t>
        </is>
      </c>
      <c r="T20" s="5" t="inlineStr">
        <is>
          <t>일본</t>
        </is>
      </c>
      <c r="U20" s="5" t="inlineStr">
        <is>
          <t>(주)디스테이션</t>
        </is>
      </c>
    </row>
    <row r="21">
      <c r="A21" s="5" t="inlineStr">
        <is>
          <t>극장판 내 마음의 위험한 녀석</t>
        </is>
      </c>
      <c r="B21" s="5" t="inlineStr">
        <is>
          <t>2026-05-21</t>
        </is>
      </c>
      <c r="C21" s="5" t="inlineStr">
        <is>
          <t>2026-05-21</t>
        </is>
      </c>
      <c r="D21" s="5" t="inlineStr">
        <is>
          <t>신작</t>
        </is>
      </c>
      <c r="E21" s="5" t="inlineStr">
        <is>
          <t>애니메이션</t>
        </is>
      </c>
      <c r="F21" s="5" t="inlineStr">
        <is>
          <t>종영</t>
        </is>
      </c>
      <c r="G21" s="7" t="n">
        <v>30333</v>
      </c>
      <c r="H21" s="7" t="n">
        <v>20631</v>
      </c>
      <c r="I21" s="7" t="n">
        <v>115</v>
      </c>
      <c r="J21" s="7" t="n">
        <v>3895</v>
      </c>
      <c r="K21" s="8">
        <f>IFERROR(G21/H21,"")</f>
        <v/>
      </c>
      <c r="L21" s="13">
        <f>IFERROR(J21/H21,"")</f>
        <v/>
      </c>
      <c r="M21" s="7" t="n">
        <v>115</v>
      </c>
      <c r="N21" s="19" t="n">
        <v>38.4</v>
      </c>
      <c r="O21" s="19" t="n">
        <v>132</v>
      </c>
      <c r="P21" s="7" t="n">
        <v>7</v>
      </c>
      <c r="Q21" s="5" t="inlineStr">
        <is>
          <t>2026-05-18</t>
        </is>
      </c>
      <c r="R21" s="5" t="inlineStr">
        <is>
          <t>2026-07-05</t>
        </is>
      </c>
      <c r="S21" s="5" t="inlineStr">
        <is>
          <t>애니메이션</t>
        </is>
      </c>
      <c r="T21" s="5" t="inlineStr">
        <is>
          <t>일본</t>
        </is>
      </c>
      <c r="U21" s="5" t="inlineStr">
        <is>
          <t>(주)애니플러스</t>
        </is>
      </c>
    </row>
    <row r="22">
      <c r="A22" s="5" t="inlineStr">
        <is>
          <t>퍼펙트 블루</t>
        </is>
      </c>
      <c r="B22" s="5" t="inlineStr">
        <is>
          <t>2025-09-11</t>
        </is>
      </c>
      <c r="C22" s="5" t="inlineStr">
        <is>
          <t>2004-05-26</t>
        </is>
      </c>
      <c r="D22" s="5" t="inlineStr">
        <is>
          <t>재개봉/구작</t>
        </is>
      </c>
      <c r="E22" s="5" t="inlineStr">
        <is>
          <t>애니메이션</t>
        </is>
      </c>
      <c r="F22" s="5" t="inlineStr">
        <is>
          <t>종영</t>
        </is>
      </c>
      <c r="G22" s="7" t="n">
        <v>28948</v>
      </c>
      <c r="H22" s="7" t="n">
        <v>29900</v>
      </c>
      <c r="I22" s="7" t="n">
        <v>138</v>
      </c>
      <c r="J22" s="7" t="n">
        <v>4319</v>
      </c>
      <c r="K22" s="8">
        <f>IFERROR(G22/H22,"")</f>
        <v/>
      </c>
      <c r="L22" s="13">
        <f>IFERROR(J22/H22,"")</f>
        <v/>
      </c>
      <c r="M22" s="7" t="n">
        <v>135</v>
      </c>
      <c r="N22" s="19" t="n">
        <v>45.3</v>
      </c>
      <c r="O22" s="19" t="n">
        <v>171</v>
      </c>
      <c r="P22" s="7" t="n">
        <v>7</v>
      </c>
      <c r="Q22" s="5" t="inlineStr">
        <is>
          <t>2025-09-08</t>
        </is>
      </c>
      <c r="R22" s="5" t="inlineStr">
        <is>
          <t>2025-10-26</t>
        </is>
      </c>
      <c r="S22" s="5" t="inlineStr">
        <is>
          <t>애니메이션,미스터리</t>
        </is>
      </c>
      <c r="T22" s="5" t="inlineStr">
        <is>
          <t>일본</t>
        </is>
      </c>
      <c r="U22" s="5" t="inlineStr">
        <is>
          <t>(주)디스테이션,(주)튜브엔터테인먼트</t>
        </is>
      </c>
    </row>
    <row r="23">
      <c r="A23" s="5" t="inlineStr">
        <is>
          <t>짝사랑 세계</t>
        </is>
      </c>
      <c r="B23" s="5" t="inlineStr">
        <is>
          <t>2026-06-24</t>
        </is>
      </c>
      <c r="C23" s="5" t="inlineStr">
        <is>
          <t>2026-06-24</t>
        </is>
      </c>
      <c r="D23" s="5" t="inlineStr">
        <is>
          <t>신작</t>
        </is>
      </c>
      <c r="E23" s="5" t="inlineStr">
        <is>
          <t>실사 외화</t>
        </is>
      </c>
      <c r="F23" s="5" t="inlineStr">
        <is>
          <t>종영</t>
        </is>
      </c>
      <c r="G23" s="7" t="n">
        <v>28548</v>
      </c>
      <c r="H23" s="7" t="n">
        <v>29295</v>
      </c>
      <c r="I23" s="7" t="n">
        <v>150</v>
      </c>
      <c r="J23" s="7" t="n">
        <v>3562</v>
      </c>
      <c r="K23" s="8">
        <f>IFERROR(G23/H23,"")</f>
        <v/>
      </c>
      <c r="L23" s="13">
        <f>IFERROR(J23/H23,"")</f>
        <v/>
      </c>
      <c r="M23" s="7" t="n">
        <v>144</v>
      </c>
      <c r="N23" s="19" t="n">
        <v>42.7</v>
      </c>
      <c r="O23" s="19" t="n">
        <v>153</v>
      </c>
      <c r="P23" s="7" t="n">
        <v>9</v>
      </c>
      <c r="Q23" s="5" t="inlineStr">
        <is>
          <t>2026-06-15</t>
        </is>
      </c>
      <c r="R23" s="5" t="inlineStr">
        <is>
          <t>2026-08-16</t>
        </is>
      </c>
      <c r="S23" s="5" t="inlineStr">
        <is>
          <t>드라마,멜로/로맨스</t>
        </is>
      </c>
      <c r="T23" s="5" t="inlineStr">
        <is>
          <t>일본</t>
        </is>
      </c>
      <c r="U23" s="5" t="inlineStr">
        <is>
          <t>메가박스중앙(주)</t>
        </is>
      </c>
    </row>
    <row r="24">
      <c r="A24" s="5" t="inlineStr">
        <is>
          <t>괴담만찬</t>
        </is>
      </c>
      <c r="B24" s="5" t="inlineStr">
        <is>
          <t>2023-10-18</t>
        </is>
      </c>
      <c r="C24" s="5" t="inlineStr">
        <is>
          <t>2023-10-18</t>
        </is>
      </c>
      <c r="D24" s="5" t="inlineStr">
        <is>
          <t>신작</t>
        </is>
      </c>
      <c r="E24" s="5" t="inlineStr">
        <is>
          <t>실사 한국</t>
        </is>
      </c>
      <c r="F24" s="5" t="inlineStr">
        <is>
          <t>종영</t>
        </is>
      </c>
      <c r="G24" s="7" t="n">
        <v>27389</v>
      </c>
      <c r="H24" s="7" t="n">
        <v>60448</v>
      </c>
      <c r="I24" s="7" t="n">
        <v>162</v>
      </c>
      <c r="J24" s="7" t="n">
        <v>4091</v>
      </c>
      <c r="K24" s="8">
        <f>IFERROR(G24/H24,"")</f>
        <v/>
      </c>
      <c r="L24" s="13">
        <f>IFERROR(J24/H24,"")</f>
        <v/>
      </c>
      <c r="M24" s="7" t="n">
        <v>122</v>
      </c>
      <c r="N24" s="19" t="n">
        <v>39.3</v>
      </c>
      <c r="O24" s="19" t="n">
        <v>264</v>
      </c>
      <c r="P24" s="7" t="n">
        <v>8</v>
      </c>
      <c r="Q24" s="5" t="inlineStr">
        <is>
          <t>2023-10-09</t>
        </is>
      </c>
      <c r="R24" s="5" t="inlineStr">
        <is>
          <t>2023-12-03</t>
        </is>
      </c>
      <c r="S24" s="5" t="inlineStr">
        <is>
          <t>공포(호러)</t>
        </is>
      </c>
      <c r="T24" s="5" t="inlineStr">
        <is>
          <t>한국</t>
        </is>
      </c>
      <c r="U24" s="5" t="inlineStr">
        <is>
          <t>TCO(주)더콘텐츠온,(주)블루라벨픽쳐스,(주)대교 미디어콘텐츠사업본부</t>
        </is>
      </c>
    </row>
    <row r="25">
      <c r="A25" s="5" t="inlineStr">
        <is>
          <t>마이 샤이니 월드</t>
        </is>
      </c>
      <c r="B25" s="5" t="inlineStr">
        <is>
          <t>2023-11-03</t>
        </is>
      </c>
      <c r="C25" s="5" t="inlineStr">
        <is>
          <t>2023-11-03</t>
        </is>
      </c>
      <c r="D25" s="5" t="inlineStr">
        <is>
          <t>신작</t>
        </is>
      </c>
      <c r="E25" s="5" t="inlineStr">
        <is>
          <t>공연·실황</t>
        </is>
      </c>
      <c r="F25" s="5" t="inlineStr">
        <is>
          <t>종영</t>
        </is>
      </c>
      <c r="G25" s="7" t="n">
        <v>26480</v>
      </c>
      <c r="H25" s="7" t="n">
        <v>15156</v>
      </c>
      <c r="I25" s="7" t="n">
        <v>17</v>
      </c>
      <c r="J25" s="7" t="n">
        <v>3129</v>
      </c>
      <c r="K25" s="8">
        <f>IFERROR(G25/H25,"")</f>
        <v/>
      </c>
      <c r="L25" s="13">
        <f>IFERROR(J25/H25,"")</f>
        <v/>
      </c>
      <c r="M25" s="7" t="n">
        <v>93</v>
      </c>
      <c r="N25" s="19" t="n">
        <v>27</v>
      </c>
      <c r="O25" s="19" t="n">
        <v>243</v>
      </c>
      <c r="P25" s="7" t="n">
        <v>12</v>
      </c>
      <c r="Q25" s="5" t="inlineStr">
        <is>
          <t>2023-10-23</t>
        </is>
      </c>
      <c r="R25" s="5" t="inlineStr">
        <is>
          <t>2024-01-14</t>
        </is>
      </c>
      <c r="S25" s="5" t="inlineStr">
        <is>
          <t>공연,다큐멘터리</t>
        </is>
      </c>
      <c r="T25" s="5" t="inlineStr">
        <is>
          <t>한국</t>
        </is>
      </c>
      <c r="U25" s="5" t="inlineStr">
        <is>
          <t>메가박스중앙(주)</t>
        </is>
      </c>
    </row>
    <row r="26">
      <c r="A26" s="5" t="inlineStr">
        <is>
          <t>르누아르</t>
        </is>
      </c>
      <c r="B26" s="5" t="inlineStr">
        <is>
          <t>2026-04-22</t>
        </is>
      </c>
      <c r="C26" s="5" t="inlineStr">
        <is>
          <t>2026-04-22</t>
        </is>
      </c>
      <c r="D26" s="5" t="inlineStr">
        <is>
          <t>신작</t>
        </is>
      </c>
      <c r="E26" s="5" t="inlineStr">
        <is>
          <t>실사 외화</t>
        </is>
      </c>
      <c r="F26" s="5" t="inlineStr">
        <is>
          <t>종영</t>
        </is>
      </c>
      <c r="G26" s="7" t="n">
        <v>25423</v>
      </c>
      <c r="H26" s="7" t="n">
        <v>27843</v>
      </c>
      <c r="I26" s="7" t="n">
        <v>127</v>
      </c>
      <c r="J26" s="7" t="n">
        <v>3468</v>
      </c>
      <c r="K26" s="8">
        <f>IFERROR(G26/H26,"")</f>
        <v/>
      </c>
      <c r="L26" s="13">
        <f>IFERROR(J26/H26,"")</f>
        <v/>
      </c>
      <c r="M26" s="7" t="n">
        <v>107</v>
      </c>
      <c r="N26" s="19" t="n">
        <v>34.8</v>
      </c>
      <c r="O26" s="19" t="n">
        <v>149</v>
      </c>
      <c r="P26" s="7" t="n">
        <v>9</v>
      </c>
      <c r="Q26" s="5" t="inlineStr">
        <is>
          <t>2026-04-13</t>
        </is>
      </c>
      <c r="R26" s="5" t="inlineStr">
        <is>
          <t>2026-06-14</t>
        </is>
      </c>
      <c r="S26" s="5" t="inlineStr">
        <is>
          <t>드라마</t>
        </is>
      </c>
      <c r="T26" s="5" t="inlineStr">
        <is>
          <t>일본</t>
        </is>
      </c>
      <c r="U26" s="5" t="inlineStr">
        <is>
          <t>메가박스중앙(주)</t>
        </is>
      </c>
    </row>
    <row r="27">
      <c r="A27" s="5" t="inlineStr">
        <is>
          <t>어쩌면 해피엔딩</t>
        </is>
      </c>
      <c r="B27" s="5" t="inlineStr">
        <is>
          <t>2025-10-02</t>
        </is>
      </c>
      <c r="C27" s="5" t="inlineStr">
        <is>
          <t>2025-10-02</t>
        </is>
      </c>
      <c r="D27" s="5" t="inlineStr">
        <is>
          <t>신작</t>
        </is>
      </c>
      <c r="E27" s="5" t="inlineStr">
        <is>
          <t>공연·실황</t>
        </is>
      </c>
      <c r="F27" s="5" t="inlineStr">
        <is>
          <t>종영</t>
        </is>
      </c>
      <c r="G27" s="7" t="n">
        <v>25292</v>
      </c>
      <c r="H27" s="7" t="n">
        <v>35575</v>
      </c>
      <c r="I27" s="7" t="n">
        <v>147</v>
      </c>
      <c r="J27" s="7" t="n">
        <v>1527</v>
      </c>
      <c r="K27" s="8">
        <f>IFERROR(G27/H27,"")</f>
        <v/>
      </c>
      <c r="L27" s="13">
        <f>IFERROR(J27/H27,"")</f>
        <v/>
      </c>
      <c r="M27" s="7" t="n">
        <v>109</v>
      </c>
      <c r="N27" s="19" t="n">
        <v>34.8</v>
      </c>
      <c r="O27" s="19" t="n">
        <v>140</v>
      </c>
      <c r="P27" s="7" t="n">
        <v>10</v>
      </c>
      <c r="Q27" s="5" t="inlineStr">
        <is>
          <t>2025-09-29</t>
        </is>
      </c>
      <c r="R27" s="5" t="inlineStr">
        <is>
          <t>2025-12-07</t>
        </is>
      </c>
      <c r="S27" s="5" t="inlineStr">
        <is>
          <t>뮤지컬,멜로/로맨스</t>
        </is>
      </c>
      <c r="T27" s="5" t="inlineStr">
        <is>
          <t>한국</t>
        </is>
      </c>
      <c r="U27" s="5" t="inlineStr">
        <is>
          <t>(주)키노필름,(주)아센디오,(주)영화특별시에스엠씨,(주)로드쇼플러스</t>
        </is>
      </c>
    </row>
    <row r="28">
      <c r="A28" s="5" t="inlineStr">
        <is>
          <t>미드나잇 인 파리</t>
        </is>
      </c>
      <c r="B28" s="5" t="inlineStr">
        <is>
          <t>2025-02-12</t>
        </is>
      </c>
      <c r="C28" s="5" t="inlineStr">
        <is>
          <t>2012-07-05</t>
        </is>
      </c>
      <c r="D28" s="5" t="inlineStr">
        <is>
          <t>재개봉/구작</t>
        </is>
      </c>
      <c r="E28" s="5" t="inlineStr">
        <is>
          <t>실사 외화</t>
        </is>
      </c>
      <c r="F28" s="5" t="inlineStr">
        <is>
          <t>종영</t>
        </is>
      </c>
      <c r="G28" s="7" t="n">
        <v>23454</v>
      </c>
      <c r="H28" s="7" t="n">
        <v>34355</v>
      </c>
      <c r="I28" s="7" t="n">
        <v>136</v>
      </c>
      <c r="J28" s="7" t="n">
        <v>2779</v>
      </c>
      <c r="K28" s="8">
        <f>IFERROR(G28/H28,"")</f>
        <v/>
      </c>
      <c r="L28" s="13">
        <f>IFERROR(J28/H28,"")</f>
        <v/>
      </c>
      <c r="M28" s="7" t="n">
        <v>141</v>
      </c>
      <c r="N28" s="19" t="n">
        <v>58.7</v>
      </c>
      <c r="O28" s="19" t="n">
        <v>174</v>
      </c>
      <c r="P28" s="7" t="n">
        <v>8</v>
      </c>
      <c r="Q28" s="5" t="inlineStr">
        <is>
          <t>2025-02-03</t>
        </is>
      </c>
      <c r="R28" s="5" t="inlineStr">
        <is>
          <t>2025-03-30</t>
        </is>
      </c>
      <c r="S28" s="5" t="inlineStr">
        <is>
          <t>코미디,멜로/로맨스,판타지</t>
        </is>
      </c>
      <c r="T28" s="5" t="inlineStr">
        <is>
          <t>미국</t>
        </is>
      </c>
      <c r="U28" s="5" t="inlineStr">
        <is>
          <t>(주)디스테이션,(주)드림팩트엔터테인먼트,(주)나이너스엔터테인먼트</t>
        </is>
      </c>
    </row>
    <row r="29">
      <c r="A29" s="5" t="inlineStr">
        <is>
          <t>누벨바그</t>
        </is>
      </c>
      <c r="B29" s="5" t="inlineStr">
        <is>
          <t>2025-12-31</t>
        </is>
      </c>
      <c r="C29" s="5" t="inlineStr">
        <is>
          <t>2025-12-31</t>
        </is>
      </c>
      <c r="D29" s="5" t="inlineStr">
        <is>
          <t>신작</t>
        </is>
      </c>
      <c r="E29" s="5" t="inlineStr">
        <is>
          <t>실사 외화</t>
        </is>
      </c>
      <c r="F29" s="5" t="inlineStr">
        <is>
          <t>종영</t>
        </is>
      </c>
      <c r="G29" s="7" t="n">
        <v>23029</v>
      </c>
      <c r="H29" s="7" t="n">
        <v>24163</v>
      </c>
      <c r="I29" s="7" t="n">
        <v>141</v>
      </c>
      <c r="J29" s="7" t="n">
        <v>4051</v>
      </c>
      <c r="K29" s="8">
        <f>IFERROR(G29/H29,"")</f>
        <v/>
      </c>
      <c r="L29" s="13">
        <f>IFERROR(J29/H29,"")</f>
        <v/>
      </c>
      <c r="M29" s="7" t="n">
        <v>120</v>
      </c>
      <c r="N29" s="19" t="n">
        <v>39.7</v>
      </c>
      <c r="O29" s="19" t="n">
        <v>144</v>
      </c>
      <c r="P29" s="7" t="n">
        <v>8</v>
      </c>
      <c r="Q29" s="5" t="inlineStr">
        <is>
          <t>2025-12-22</t>
        </is>
      </c>
      <c r="R29" s="5" t="inlineStr">
        <is>
          <t>2026-02-15</t>
        </is>
      </c>
      <c r="S29" s="5" t="inlineStr">
        <is>
          <t>드라마</t>
        </is>
      </c>
      <c r="T29" s="5" t="inlineStr">
        <is>
          <t>프랑스</t>
        </is>
      </c>
      <c r="U29" s="5" t="inlineStr">
        <is>
          <t>메가박스중앙(주)</t>
        </is>
      </c>
    </row>
    <row r="30">
      <c r="A30" s="5" t="inlineStr">
        <is>
          <t>베이비걸</t>
        </is>
      </c>
      <c r="B30" s="5" t="inlineStr">
        <is>
          <t>2025-10-29</t>
        </is>
      </c>
      <c r="C30" s="5" t="inlineStr">
        <is>
          <t>2025-10-29</t>
        </is>
      </c>
      <c r="D30" s="5" t="inlineStr">
        <is>
          <t>신작</t>
        </is>
      </c>
      <c r="E30" s="5" t="inlineStr">
        <is>
          <t>실사 외화</t>
        </is>
      </c>
      <c r="F30" s="5" t="inlineStr">
        <is>
          <t>종영</t>
        </is>
      </c>
      <c r="G30" s="7" t="n">
        <v>22796</v>
      </c>
      <c r="H30" s="7" t="n">
        <v>52896</v>
      </c>
      <c r="I30" s="7" t="n">
        <v>157</v>
      </c>
      <c r="J30" s="7" t="n">
        <v>5865</v>
      </c>
      <c r="K30" s="8">
        <f>IFERROR(G30/H30,"")</f>
        <v/>
      </c>
      <c r="L30" s="13">
        <f>IFERROR(J30/H30,"")</f>
        <v/>
      </c>
      <c r="M30" s="7" t="n">
        <v>116</v>
      </c>
      <c r="N30" s="19" t="n">
        <v>52.6</v>
      </c>
      <c r="O30" s="19" t="n">
        <v>208</v>
      </c>
      <c r="P30" s="7" t="n">
        <v>7</v>
      </c>
      <c r="Q30" s="5" t="inlineStr">
        <is>
          <t>2025-10-20</t>
        </is>
      </c>
      <c r="R30" s="5" t="inlineStr">
        <is>
          <t>2025-12-07</t>
        </is>
      </c>
      <c r="S30" s="5" t="inlineStr">
        <is>
          <t>스릴러,멜로/로맨스,드라마</t>
        </is>
      </c>
      <c r="T30" s="5" t="inlineStr">
        <is>
          <t>미국</t>
        </is>
      </c>
      <c r="U30" s="5" t="inlineStr">
        <is>
          <t>메가박스중앙(주),주식회사 올랄라스토리</t>
        </is>
      </c>
    </row>
    <row r="31">
      <c r="A31" s="5" t="inlineStr">
        <is>
          <t>몬테크리스토 백작</t>
        </is>
      </c>
      <c r="B31" s="5" t="inlineStr">
        <is>
          <t>2026-02-13</t>
        </is>
      </c>
      <c r="C31" s="5" t="inlineStr">
        <is>
          <t>2026-02-13</t>
        </is>
      </c>
      <c r="D31" s="5" t="inlineStr">
        <is>
          <t>신작</t>
        </is>
      </c>
      <c r="E31" s="5" t="inlineStr">
        <is>
          <t>실사 외화</t>
        </is>
      </c>
      <c r="F31" s="5" t="inlineStr">
        <is>
          <t>종영</t>
        </is>
      </c>
      <c r="G31" s="7" t="n">
        <v>22636</v>
      </c>
      <c r="H31" s="7" t="n">
        <v>14777</v>
      </c>
      <c r="I31" s="7" t="n">
        <v>100</v>
      </c>
      <c r="J31" s="7" t="n">
        <v>1786</v>
      </c>
      <c r="K31" s="8">
        <f>IFERROR(G31/H31,"")</f>
        <v/>
      </c>
      <c r="L31" s="13">
        <f>IFERROR(J31/H31,"")</f>
        <v/>
      </c>
      <c r="M31" s="7" t="n">
        <v>80</v>
      </c>
      <c r="N31" s="19" t="n">
        <v>27.1</v>
      </c>
      <c r="O31" s="19" t="n">
        <v>126</v>
      </c>
      <c r="P31" s="7" t="n">
        <v>12</v>
      </c>
      <c r="Q31" s="5" t="inlineStr">
        <is>
          <t>2026-02-16</t>
        </is>
      </c>
      <c r="R31" s="5" t="inlineStr">
        <is>
          <t>2026-05-10</t>
        </is>
      </c>
      <c r="S31" s="5" t="inlineStr">
        <is>
          <t>드라마</t>
        </is>
      </c>
      <c r="T31" s="5" t="inlineStr">
        <is>
          <t>프랑스</t>
        </is>
      </c>
      <c r="U31" s="5" t="inlineStr">
        <is>
          <t>찬란,(주)버킷스튜디오</t>
        </is>
      </c>
    </row>
    <row r="32">
      <c r="A32" s="5" t="inlineStr">
        <is>
          <t>컨택트</t>
        </is>
      </c>
      <c r="B32" s="5" t="inlineStr">
        <is>
          <t>2024-11-13</t>
        </is>
      </c>
      <c r="C32" s="5" t="inlineStr">
        <is>
          <t>2017-02-02</t>
        </is>
      </c>
      <c r="D32" s="5" t="inlineStr">
        <is>
          <t>재개봉/구작</t>
        </is>
      </c>
      <c r="E32" s="5" t="inlineStr">
        <is>
          <t>실사 외화</t>
        </is>
      </c>
      <c r="F32" s="5" t="inlineStr">
        <is>
          <t>종영</t>
        </is>
      </c>
      <c r="G32" s="7" t="n">
        <v>21575</v>
      </c>
      <c r="H32" s="7" t="n">
        <v>21161</v>
      </c>
      <c r="I32" s="7" t="n">
        <v>78</v>
      </c>
      <c r="J32" s="7" t="n">
        <v>4221</v>
      </c>
      <c r="K32" s="8">
        <f>IFERROR(G32/H32,"")</f>
        <v/>
      </c>
      <c r="L32" s="13">
        <f>IFERROR(J32/H32,"")</f>
        <v/>
      </c>
      <c r="M32" s="7" t="n">
        <v>90</v>
      </c>
      <c r="N32" s="19" t="n">
        <v>40.1</v>
      </c>
      <c r="O32" s="19" t="n">
        <v>181</v>
      </c>
      <c r="P32" s="7" t="n">
        <v>5</v>
      </c>
      <c r="Q32" s="5" t="inlineStr">
        <is>
          <t>2024-11-11</t>
        </is>
      </c>
      <c r="R32" s="5" t="inlineStr">
        <is>
          <t>2024-12-15</t>
        </is>
      </c>
      <c r="S32" s="5" t="inlineStr">
        <is>
          <t>SF,드라마,스릴러</t>
        </is>
      </c>
      <c r="T32" s="5" t="inlineStr">
        <is>
          <t>미국</t>
        </is>
      </c>
      <c r="U32" s="5" t="inlineStr">
        <is>
          <t>유니버설픽쳐스인터내셔널 코리아(유)</t>
        </is>
      </c>
    </row>
    <row r="33">
      <c r="A33" s="5" t="inlineStr">
        <is>
          <t>워킹맨</t>
        </is>
      </c>
      <c r="B33" s="5" t="inlineStr">
        <is>
          <t>2025-10-01</t>
        </is>
      </c>
      <c r="C33" s="5" t="inlineStr">
        <is>
          <t>2025-10-01</t>
        </is>
      </c>
      <c r="D33" s="5" t="inlineStr">
        <is>
          <t>신작</t>
        </is>
      </c>
      <c r="E33" s="5" t="inlineStr">
        <is>
          <t>실사 외화</t>
        </is>
      </c>
      <c r="F33" s="5" t="inlineStr">
        <is>
          <t>종영</t>
        </is>
      </c>
      <c r="G33" s="7" t="n">
        <v>21014</v>
      </c>
      <c r="H33" s="7" t="n">
        <v>52983</v>
      </c>
      <c r="I33" s="7" t="n">
        <v>173</v>
      </c>
      <c r="J33" s="7" t="n">
        <v>4459</v>
      </c>
      <c r="K33" s="8">
        <f>IFERROR(G33/H33,"")</f>
        <v/>
      </c>
      <c r="L33" s="13">
        <f>IFERROR(J33/H33,"")</f>
        <v/>
      </c>
      <c r="M33" s="7" t="n">
        <v>172</v>
      </c>
      <c r="N33" s="19" t="n">
        <v>46.5</v>
      </c>
      <c r="O33" s="19" t="n">
        <v>181</v>
      </c>
      <c r="P33" s="7" t="n">
        <v>7</v>
      </c>
      <c r="Q33" s="5" t="inlineStr">
        <is>
          <t>2025-09-29</t>
        </is>
      </c>
      <c r="R33" s="5" t="inlineStr">
        <is>
          <t>2025-11-16</t>
        </is>
      </c>
      <c r="S33" s="5" t="inlineStr">
        <is>
          <t>액션,스릴러,범죄</t>
        </is>
      </c>
      <c r="T33" s="5" t="inlineStr">
        <is>
          <t>미국</t>
        </is>
      </c>
      <c r="U33" s="5" t="inlineStr">
        <is>
          <t>메가박스중앙(주),(주)스튜디오디에이치엘</t>
        </is>
      </c>
    </row>
    <row r="34">
      <c r="A34" s="5" t="inlineStr">
        <is>
          <t>카드캡터 체리 극장판</t>
        </is>
      </c>
      <c r="B34" s="5" t="inlineStr">
        <is>
          <t>2026-05-28</t>
        </is>
      </c>
      <c r="C34" s="5" t="inlineStr">
        <is>
          <t>2026-05-28</t>
        </is>
      </c>
      <c r="D34" s="5" t="inlineStr">
        <is>
          <t>신작</t>
        </is>
      </c>
      <c r="E34" s="5" t="inlineStr">
        <is>
          <t>애니메이션</t>
        </is>
      </c>
      <c r="F34" s="5" t="inlineStr">
        <is>
          <t>종영</t>
        </is>
      </c>
      <c r="G34" s="7" t="n">
        <v>20238</v>
      </c>
      <c r="H34" s="7" t="n">
        <v>25681</v>
      </c>
      <c r="I34" s="7" t="n">
        <v>162</v>
      </c>
      <c r="J34" s="7" t="n">
        <v>4456</v>
      </c>
      <c r="K34" s="8">
        <f>IFERROR(G34/H34,"")</f>
        <v/>
      </c>
      <c r="L34" s="13">
        <f>IFERROR(J34/H34,"")</f>
        <v/>
      </c>
      <c r="M34" s="7" t="n">
        <v>159</v>
      </c>
      <c r="N34" s="19" t="n">
        <v>34.3</v>
      </c>
      <c r="O34" s="19" t="n">
        <v>127</v>
      </c>
      <c r="P34" s="7" t="n">
        <v>8</v>
      </c>
      <c r="Q34" s="5" t="inlineStr">
        <is>
          <t>2026-05-25</t>
        </is>
      </c>
      <c r="R34" s="5" t="inlineStr">
        <is>
          <t>2026-07-19</t>
        </is>
      </c>
      <c r="S34" s="5" t="inlineStr">
        <is>
          <t>애니메이션</t>
        </is>
      </c>
      <c r="T34" s="5" t="inlineStr">
        <is>
          <t>일본</t>
        </is>
      </c>
      <c r="U34" s="5" t="inlineStr">
        <is>
          <t>(주)삼백상회</t>
        </is>
      </c>
    </row>
    <row r="35">
      <c r="A35" s="5" t="inlineStr">
        <is>
          <t>패왕별희 디 오리지널</t>
        </is>
      </c>
      <c r="B35" s="5" t="inlineStr">
        <is>
          <t>2024-03-27</t>
        </is>
      </c>
      <c r="C35" s="5" t="inlineStr">
        <is>
          <t>2017-03-30</t>
        </is>
      </c>
      <c r="D35" s="5" t="inlineStr">
        <is>
          <t>재개봉/구작</t>
        </is>
      </c>
      <c r="E35" s="5" t="inlineStr">
        <is>
          <t>실사 외화</t>
        </is>
      </c>
      <c r="F35" s="5" t="inlineStr">
        <is>
          <t>종영</t>
        </is>
      </c>
      <c r="G35" s="7" t="n">
        <v>20234</v>
      </c>
      <c r="H35" s="7" t="n">
        <v>18985</v>
      </c>
      <c r="I35" s="7" t="n">
        <v>103</v>
      </c>
      <c r="J35" s="7" t="n">
        <v>5922</v>
      </c>
      <c r="K35" s="8">
        <f>IFERROR(G35/H35,"")</f>
        <v/>
      </c>
      <c r="L35" s="13">
        <f>IFERROR(J35/H35,"")</f>
        <v/>
      </c>
      <c r="M35" s="7" t="n">
        <v>99</v>
      </c>
      <c r="N35" s="19" t="n">
        <v>34.8</v>
      </c>
      <c r="O35" s="19" t="n">
        <v>147</v>
      </c>
      <c r="P35" s="7" t="n">
        <v>6</v>
      </c>
      <c r="Q35" s="5" t="inlineStr">
        <is>
          <t>2024-03-25</t>
        </is>
      </c>
      <c r="R35" s="5" t="inlineStr">
        <is>
          <t>2024-05-05</t>
        </is>
      </c>
      <c r="S35" s="5" t="inlineStr">
        <is>
          <t>드라마,멜로/로맨스</t>
        </is>
      </c>
      <c r="T35" s="5" t="inlineStr">
        <is>
          <t>중국</t>
        </is>
      </c>
      <c r="U35" s="5" t="inlineStr">
        <is>
          <t>와이드 릴리즈(주),(주)제이앤씨미디어그룹,(주)드림팩트엔터테인먼트</t>
        </is>
      </c>
    </row>
    <row r="36">
      <c r="A36" s="5" t="inlineStr">
        <is>
          <t>극장판 총집편 걸즈 밴드 크라이 청춘광주곡</t>
        </is>
      </c>
      <c r="B36" s="5" t="inlineStr">
        <is>
          <t>2026-01-28</t>
        </is>
      </c>
      <c r="C36" s="5" t="inlineStr">
        <is>
          <t>2026-01-28</t>
        </is>
      </c>
      <c r="D36" s="5" t="inlineStr">
        <is>
          <t>신작</t>
        </is>
      </c>
      <c r="E36" s="5" t="inlineStr">
        <is>
          <t>애니메이션</t>
        </is>
      </c>
      <c r="F36" s="5" t="inlineStr">
        <is>
          <t>종영</t>
        </is>
      </c>
      <c r="G36" s="7" t="n">
        <v>20191</v>
      </c>
      <c r="H36" s="7" t="n">
        <v>32387</v>
      </c>
      <c r="I36" s="7" t="n">
        <v>130</v>
      </c>
      <c r="J36" s="7" t="n">
        <v>5344</v>
      </c>
      <c r="K36" s="8">
        <f>IFERROR(G36/H36,"")</f>
        <v/>
      </c>
      <c r="L36" s="13">
        <f>IFERROR(J36/H36,"")</f>
        <v/>
      </c>
      <c r="M36" s="7" t="n">
        <v>129</v>
      </c>
      <c r="N36" s="19" t="n">
        <v>32.3</v>
      </c>
      <c r="O36" s="19" t="n">
        <v>167</v>
      </c>
      <c r="P36" s="7" t="n">
        <v>8</v>
      </c>
      <c r="Q36" s="5" t="inlineStr">
        <is>
          <t>2026-01-26</t>
        </is>
      </c>
      <c r="R36" s="5" t="inlineStr">
        <is>
          <t>2026-03-22</t>
        </is>
      </c>
      <c r="S36" s="5" t="inlineStr">
        <is>
          <t>애니메이션</t>
        </is>
      </c>
      <c r="T36" s="5" t="inlineStr">
        <is>
          <t>일본</t>
        </is>
      </c>
      <c r="U36" s="5" t="inlineStr">
        <is>
          <t>(주)애니플러스</t>
        </is>
      </c>
    </row>
    <row r="37">
      <c r="A37" s="5" t="inlineStr">
        <is>
          <t>크라임 101</t>
        </is>
      </c>
      <c r="B37" s="5" t="inlineStr">
        <is>
          <t>2026-04-08</t>
        </is>
      </c>
      <c r="C37" s="5" t="inlineStr">
        <is>
          <t>2026-04-08</t>
        </is>
      </c>
      <c r="D37" s="5" t="inlineStr">
        <is>
          <t>신작</t>
        </is>
      </c>
      <c r="E37" s="5" t="inlineStr">
        <is>
          <t>실사 외화</t>
        </is>
      </c>
      <c r="F37" s="5" t="inlineStr">
        <is>
          <t>종영</t>
        </is>
      </c>
      <c r="G37" s="7" t="n">
        <v>20138</v>
      </c>
      <c r="H37" s="7" t="n">
        <v>53148</v>
      </c>
      <c r="I37" s="7" t="n">
        <v>208</v>
      </c>
      <c r="J37" s="7" t="n">
        <v>3513</v>
      </c>
      <c r="K37" s="8">
        <f>IFERROR(G37/H37,"")</f>
        <v/>
      </c>
      <c r="L37" s="13">
        <f>IFERROR(J37/H37,"")</f>
        <v/>
      </c>
      <c r="M37" s="7" t="n">
        <v>171</v>
      </c>
      <c r="N37" s="19" t="n">
        <v>75.2</v>
      </c>
      <c r="O37" s="19" t="n">
        <v>210</v>
      </c>
      <c r="P37" s="7" t="n">
        <v>6</v>
      </c>
      <c r="Q37" s="5" t="inlineStr">
        <is>
          <t>2026-03-30</t>
        </is>
      </c>
      <c r="R37" s="5" t="inlineStr">
        <is>
          <t>2026-05-10</t>
        </is>
      </c>
      <c r="S37" s="5" t="inlineStr">
        <is>
          <t>범죄,드라마,스릴러</t>
        </is>
      </c>
      <c r="T37" s="5" t="inlineStr">
        <is>
          <t>미국</t>
        </is>
      </c>
      <c r="U37" s="5" t="inlineStr">
        <is>
          <t>소니픽쳐스엔터테인먼트코리아주식회사극장배급지점</t>
        </is>
      </c>
    </row>
    <row r="38">
      <c r="A38" s="5" t="inlineStr">
        <is>
          <t>주차금지</t>
        </is>
      </c>
      <c r="B38" s="5" t="inlineStr">
        <is>
          <t>2025-05-21</t>
        </is>
      </c>
      <c r="C38" s="5" t="inlineStr">
        <is>
          <t>2025-05-21</t>
        </is>
      </c>
      <c r="D38" s="5" t="inlineStr">
        <is>
          <t>신작</t>
        </is>
      </c>
      <c r="E38" s="5" t="inlineStr">
        <is>
          <t>실사 한국</t>
        </is>
      </c>
      <c r="F38" s="5" t="inlineStr">
        <is>
          <t>종영</t>
        </is>
      </c>
      <c r="G38" s="7" t="n">
        <v>19970</v>
      </c>
      <c r="H38" s="7" t="n">
        <v>19453</v>
      </c>
      <c r="I38" s="7" t="n">
        <v>125</v>
      </c>
      <c r="J38" s="7" t="n">
        <v>2520</v>
      </c>
      <c r="K38" s="8">
        <f>IFERROR(G38/H38,"")</f>
        <v/>
      </c>
      <c r="L38" s="13">
        <f>IFERROR(J38/H38,"")</f>
        <v/>
      </c>
      <c r="M38" s="7" t="n">
        <v>126</v>
      </c>
      <c r="N38" s="19" t="n">
        <v>44.1</v>
      </c>
      <c r="O38" s="19" t="n">
        <v>138</v>
      </c>
      <c r="P38" s="7" t="n">
        <v>7</v>
      </c>
      <c r="Q38" s="5" t="inlineStr">
        <is>
          <t>2025-05-12</t>
        </is>
      </c>
      <c r="R38" s="5" t="inlineStr">
        <is>
          <t>2025-06-29</t>
        </is>
      </c>
      <c r="S38" s="5" t="inlineStr">
        <is>
          <t>스릴러</t>
        </is>
      </c>
      <c r="T38" s="5" t="inlineStr">
        <is>
          <t>한국</t>
        </is>
      </c>
      <c r="U38" s="5" t="inlineStr">
        <is>
          <t>㈜영화사 주단,(주)엠디에스스피어</t>
        </is>
      </c>
    </row>
    <row r="39">
      <c r="A39" s="5" t="inlineStr">
        <is>
          <t>극장판 전생했더니 슬라임이었던 건에 대하여: 홍련의 인연편</t>
        </is>
      </c>
      <c r="B39" s="5" t="inlineStr">
        <is>
          <t>2023-02-02</t>
        </is>
      </c>
      <c r="C39" s="5" t="inlineStr">
        <is>
          <t>2023-02-02</t>
        </is>
      </c>
      <c r="D39" s="5" t="inlineStr">
        <is>
          <t>신작</t>
        </is>
      </c>
      <c r="E39" s="5" t="inlineStr">
        <is>
          <t>애니메이션</t>
        </is>
      </c>
      <c r="F39" s="5" t="inlineStr">
        <is>
          <t>종영</t>
        </is>
      </c>
      <c r="G39" s="7" t="n">
        <v>19711</v>
      </c>
      <c r="H39" s="7" t="n">
        <v>34348</v>
      </c>
      <c r="I39" s="7" t="n">
        <v>114</v>
      </c>
      <c r="J39" s="7" t="n">
        <v>3397</v>
      </c>
      <c r="K39" s="8">
        <f>IFERROR(G39/H39,"")</f>
        <v/>
      </c>
      <c r="L39" s="13">
        <f>IFERROR(J39/H39,"")</f>
        <v/>
      </c>
      <c r="M39" s="7" t="n">
        <v>114</v>
      </c>
      <c r="N39" s="19" t="n">
        <v>35.7</v>
      </c>
      <c r="O39" s="19" t="n">
        <v>195</v>
      </c>
      <c r="P39" s="7" t="n">
        <v>8</v>
      </c>
      <c r="Q39" s="5" t="inlineStr">
        <is>
          <t>2023-01-30</t>
        </is>
      </c>
      <c r="R39" s="5" t="inlineStr">
        <is>
          <t>2023-03-26</t>
        </is>
      </c>
      <c r="S39" s="5" t="inlineStr">
        <is>
          <t>애니메이션,판타지,액션</t>
        </is>
      </c>
      <c r="T39" s="5" t="inlineStr">
        <is>
          <t>일본</t>
        </is>
      </c>
      <c r="U39" s="5" t="inlineStr">
        <is>
          <t>(주)애니플러스</t>
        </is>
      </c>
    </row>
    <row r="40">
      <c r="A40" s="5" t="inlineStr">
        <is>
          <t>킬 빌: 더 홀 블러디 어페어</t>
        </is>
      </c>
      <c r="B40" s="5" t="inlineStr">
        <is>
          <t>2026-04-01</t>
        </is>
      </c>
      <c r="C40" s="5" t="inlineStr">
        <is>
          <t>2026-04-01</t>
        </is>
      </c>
      <c r="D40" s="5" t="inlineStr">
        <is>
          <t>신작</t>
        </is>
      </c>
      <c r="E40" s="5" t="inlineStr">
        <is>
          <t>실사 외화</t>
        </is>
      </c>
      <c r="F40" s="5" t="inlineStr">
        <is>
          <t>종영</t>
        </is>
      </c>
      <c r="G40" s="7" t="n">
        <v>19273</v>
      </c>
      <c r="H40" s="7" t="n">
        <v>15711</v>
      </c>
      <c r="I40" s="7" t="n">
        <v>88</v>
      </c>
      <c r="J40" s="7" t="n">
        <v>2923</v>
      </c>
      <c r="K40" s="8">
        <f>IFERROR(G40/H40,"")</f>
        <v/>
      </c>
      <c r="L40" s="13">
        <f>IFERROR(J40/H40,"")</f>
        <v/>
      </c>
      <c r="M40" s="7" t="n">
        <v>86</v>
      </c>
      <c r="N40" s="19" t="n">
        <v>25.8</v>
      </c>
      <c r="O40" s="19" t="n">
        <v>156</v>
      </c>
      <c r="P40" s="7" t="n">
        <v>10</v>
      </c>
      <c r="Q40" s="5" t="inlineStr">
        <is>
          <t>2026-03-16</t>
        </is>
      </c>
      <c r="R40" s="5" t="inlineStr">
        <is>
          <t>2026-05-24</t>
        </is>
      </c>
      <c r="S40" s="5" t="inlineStr">
        <is>
          <t>액션</t>
        </is>
      </c>
      <c r="T40" s="5" t="inlineStr">
        <is>
          <t>미국</t>
        </is>
      </c>
      <c r="U40" s="5" t="inlineStr">
        <is>
          <t>(주)누리픽쳐스</t>
        </is>
      </c>
    </row>
    <row r="41">
      <c r="A41" s="5" t="inlineStr">
        <is>
          <t>청춘 돼지는 책가방 소녀의 꿈을 꾸지 않는다</t>
        </is>
      </c>
      <c r="B41" s="5" t="inlineStr">
        <is>
          <t>2024-02-01</t>
        </is>
      </c>
      <c r="C41" s="5" t="inlineStr">
        <is>
          <t>2024-02-01</t>
        </is>
      </c>
      <c r="D41" s="5" t="inlineStr">
        <is>
          <t>신작</t>
        </is>
      </c>
      <c r="E41" s="5" t="inlineStr">
        <is>
          <t>애니메이션</t>
        </is>
      </c>
      <c r="F41" s="5" t="inlineStr">
        <is>
          <t>종영</t>
        </is>
      </c>
      <c r="G41" s="7" t="n">
        <v>19156</v>
      </c>
      <c r="H41" s="7" t="n">
        <v>17849</v>
      </c>
      <c r="I41" s="7" t="n">
        <v>84</v>
      </c>
      <c r="J41" s="7" t="n">
        <v>3976</v>
      </c>
      <c r="K41" s="8">
        <f>IFERROR(G41/H41,"")</f>
        <v/>
      </c>
      <c r="L41" s="13">
        <f>IFERROR(J41/H41,"")</f>
        <v/>
      </c>
      <c r="M41" s="7" t="n">
        <v>84</v>
      </c>
      <c r="N41" s="19" t="n">
        <v>33.2</v>
      </c>
      <c r="O41" s="19" t="n">
        <v>156</v>
      </c>
      <c r="P41" s="7" t="n">
        <v>7</v>
      </c>
      <c r="Q41" s="5" t="inlineStr">
        <is>
          <t>2024-01-29</t>
        </is>
      </c>
      <c r="R41" s="5" t="inlineStr">
        <is>
          <t>2024-03-17</t>
        </is>
      </c>
      <c r="S41" s="5" t="inlineStr">
        <is>
          <t>애니메이션</t>
        </is>
      </c>
      <c r="T41" s="5" t="inlineStr">
        <is>
          <t>일본</t>
        </is>
      </c>
      <c r="U41" s="5" t="inlineStr">
        <is>
          <t>(주)애니플러스</t>
        </is>
      </c>
    </row>
    <row r="42">
      <c r="A42" s="5" t="inlineStr">
        <is>
          <t>우리에게는 아직 내일이 있다</t>
        </is>
      </c>
      <c r="B42" s="5" t="inlineStr">
        <is>
          <t>2026-03-04</t>
        </is>
      </c>
      <c r="C42" s="5" t="inlineStr">
        <is>
          <t>2026-03-04</t>
        </is>
      </c>
      <c r="D42" s="5" t="inlineStr">
        <is>
          <t>신작</t>
        </is>
      </c>
      <c r="E42" s="5" t="inlineStr">
        <is>
          <t>실사 외화</t>
        </is>
      </c>
      <c r="F42" s="5" t="inlineStr">
        <is>
          <t>종영</t>
        </is>
      </c>
      <c r="G42" s="7" t="n">
        <v>19136</v>
      </c>
      <c r="H42" s="7" t="n">
        <v>11100</v>
      </c>
      <c r="I42" s="7" t="n">
        <v>82</v>
      </c>
      <c r="J42" s="7" t="n">
        <v>1448</v>
      </c>
      <c r="K42" s="8">
        <f>IFERROR(G42/H42,"")</f>
        <v/>
      </c>
      <c r="L42" s="13">
        <f>IFERROR(J42/H42,"")</f>
        <v/>
      </c>
      <c r="M42" s="7" t="n">
        <v>73</v>
      </c>
      <c r="N42" s="19" t="n">
        <v>21</v>
      </c>
      <c r="O42" s="19" t="n">
        <v>119</v>
      </c>
      <c r="P42" s="7" t="n">
        <v>12</v>
      </c>
      <c r="Q42" s="5" t="inlineStr">
        <is>
          <t>2026-02-23</t>
        </is>
      </c>
      <c r="R42" s="5" t="inlineStr">
        <is>
          <t>2026-05-17</t>
        </is>
      </c>
      <c r="S42" s="5" t="inlineStr">
        <is>
          <t>드라마</t>
        </is>
      </c>
      <c r="T42" s="5" t="inlineStr">
        <is>
          <t>이탈리아</t>
        </is>
      </c>
      <c r="U42" s="5" t="inlineStr">
        <is>
          <t>(주)콘텐츠판다</t>
        </is>
      </c>
    </row>
    <row r="43">
      <c r="A43" s="5" t="inlineStr">
        <is>
          <t>더 로즈: 완벽한 이혼</t>
        </is>
      </c>
      <c r="B43" s="5" t="inlineStr">
        <is>
          <t>2025-09-17</t>
        </is>
      </c>
      <c r="C43" s="5" t="inlineStr">
        <is>
          <t>2025-09-17</t>
        </is>
      </c>
      <c r="D43" s="5" t="inlineStr">
        <is>
          <t>신작</t>
        </is>
      </c>
      <c r="E43" s="5" t="inlineStr">
        <is>
          <t>실사 외화</t>
        </is>
      </c>
      <c r="F43" s="5" t="inlineStr">
        <is>
          <t>종영</t>
        </is>
      </c>
      <c r="G43" s="7" t="n">
        <v>18670</v>
      </c>
      <c r="H43" s="7" t="n">
        <v>54406</v>
      </c>
      <c r="I43" s="7" t="n">
        <v>167</v>
      </c>
      <c r="J43" s="7" t="n">
        <v>3185</v>
      </c>
      <c r="K43" s="8">
        <f>IFERROR(G43/H43,"")</f>
        <v/>
      </c>
      <c r="L43" s="13">
        <f>IFERROR(J43/H43,"")</f>
        <v/>
      </c>
      <c r="M43" s="7" t="n">
        <v>152</v>
      </c>
      <c r="N43" s="19" t="n">
        <v>77</v>
      </c>
      <c r="O43" s="19" t="n">
        <v>208</v>
      </c>
      <c r="P43" s="7" t="n">
        <v>6</v>
      </c>
      <c r="Q43" s="5" t="inlineStr">
        <is>
          <t>2025-09-08</t>
        </is>
      </c>
      <c r="R43" s="5" t="inlineStr">
        <is>
          <t>2025-10-19</t>
        </is>
      </c>
      <c r="S43" s="5" t="inlineStr">
        <is>
          <t>코미디,드라마</t>
        </is>
      </c>
      <c r="T43" s="5" t="inlineStr">
        <is>
          <t>미국</t>
        </is>
      </c>
      <c r="U43" s="5" t="inlineStr">
        <is>
          <t>월트디즈니컴퍼니코리아 유한책임회사</t>
        </is>
      </c>
    </row>
    <row r="44">
      <c r="A44" s="5" t="inlineStr">
        <is>
          <t>뮤지컬 장수탕 선녀님</t>
        </is>
      </c>
      <c r="B44" s="5" t="inlineStr">
        <is>
          <t>2026-03-26</t>
        </is>
      </c>
      <c r="C44" s="5" t="inlineStr">
        <is>
          <t>2026-03-26</t>
        </is>
      </c>
      <c r="D44" s="5" t="inlineStr">
        <is>
          <t>신작</t>
        </is>
      </c>
      <c r="E44" s="5" t="inlineStr">
        <is>
          <t>공연·실황</t>
        </is>
      </c>
      <c r="F44" s="5" t="inlineStr">
        <is>
          <t>종영</t>
        </is>
      </c>
      <c r="G44" s="7" t="n">
        <v>18207</v>
      </c>
      <c r="H44" s="7" t="n">
        <v>14201</v>
      </c>
      <c r="I44" s="7" t="n">
        <v>89</v>
      </c>
      <c r="J44" s="7" t="n">
        <v>737</v>
      </c>
      <c r="K44" s="8">
        <f>IFERROR(G44/H44,"")</f>
        <v/>
      </c>
      <c r="L44" s="13">
        <f>IFERROR(J44/H44,"")</f>
        <v/>
      </c>
      <c r="M44" s="7" t="n">
        <v>89</v>
      </c>
      <c r="N44" s="19" t="n">
        <v>30.5</v>
      </c>
      <c r="O44" s="19" t="n">
        <v>128</v>
      </c>
      <c r="P44" s="7" t="n">
        <v>10</v>
      </c>
      <c r="Q44" s="5" t="inlineStr">
        <is>
          <t>2026-03-16</t>
        </is>
      </c>
      <c r="R44" s="5" t="inlineStr">
        <is>
          <t>2026-05-24</t>
        </is>
      </c>
      <c r="S44" s="5" t="inlineStr">
        <is>
          <t>뮤지컬,공연</t>
        </is>
      </c>
      <c r="T44" s="5" t="inlineStr">
        <is>
          <t>한국</t>
        </is>
      </c>
      <c r="U44" s="5" t="inlineStr">
        <is>
          <t>메가박스중앙(주),(주)영화사 그램</t>
        </is>
      </c>
    </row>
    <row r="45">
      <c r="A45" s="5" t="inlineStr">
        <is>
          <t>마당을 나온 암탉</t>
        </is>
      </c>
      <c r="B45" s="5" t="inlineStr">
        <is>
          <t>2025-01-22</t>
        </is>
      </c>
      <c r="C45" s="5" t="inlineStr">
        <is>
          <t>2011-07-28</t>
        </is>
      </c>
      <c r="D45" s="5" t="inlineStr">
        <is>
          <t>재개봉/구작</t>
        </is>
      </c>
      <c r="E45" s="5" t="inlineStr">
        <is>
          <t>애니메이션</t>
        </is>
      </c>
      <c r="F45" s="5" t="inlineStr">
        <is>
          <t>종영</t>
        </is>
      </c>
      <c r="G45" s="7" t="n">
        <v>18008</v>
      </c>
      <c r="H45" s="7" t="n">
        <v>23255</v>
      </c>
      <c r="I45" s="7" t="n">
        <v>131</v>
      </c>
      <c r="J45" s="7" t="n">
        <v>954</v>
      </c>
      <c r="K45" s="8">
        <f>IFERROR(G45/H45,"")</f>
        <v/>
      </c>
      <c r="L45" s="13">
        <f>IFERROR(J45/H45,"")</f>
        <v/>
      </c>
      <c r="M45" s="7" t="n">
        <v>117</v>
      </c>
      <c r="N45" s="19" t="n">
        <v>41.1</v>
      </c>
      <c r="O45" s="19" t="n">
        <v>132</v>
      </c>
      <c r="P45" s="7" t="n">
        <v>10</v>
      </c>
      <c r="Q45" s="5" t="inlineStr">
        <is>
          <t>2025-01-06</t>
        </is>
      </c>
      <c r="R45" s="5" t="inlineStr">
        <is>
          <t>2025-03-16</t>
        </is>
      </c>
      <c r="S45" s="5" t="inlineStr">
        <is>
          <t>애니메이션</t>
        </is>
      </c>
      <c r="T45" s="5" t="inlineStr">
        <is>
          <t>한국</t>
        </is>
      </c>
      <c r="U45" s="5" t="inlineStr">
        <is>
          <t>메가박스중앙(주),롯데쇼핑㈜롯데엔터테인먼트</t>
        </is>
      </c>
    </row>
    <row r="46">
      <c r="A46" s="5" t="inlineStr">
        <is>
          <t>우견니</t>
        </is>
      </c>
      <c r="B46" s="5" t="inlineStr">
        <is>
          <t>2024-02-14</t>
        </is>
      </c>
      <c r="C46" s="5" t="inlineStr">
        <is>
          <t>2024-02-14</t>
        </is>
      </c>
      <c r="D46" s="5" t="inlineStr">
        <is>
          <t>신작</t>
        </is>
      </c>
      <c r="E46" s="5" t="inlineStr">
        <is>
          <t>실사 외화</t>
        </is>
      </c>
      <c r="F46" s="5" t="inlineStr">
        <is>
          <t>종영</t>
        </is>
      </c>
      <c r="G46" s="7" t="n">
        <v>17981</v>
      </c>
      <c r="H46" s="7" t="n">
        <v>59634</v>
      </c>
      <c r="I46" s="7" t="n">
        <v>143</v>
      </c>
      <c r="J46" s="7" t="n">
        <v>4638</v>
      </c>
      <c r="K46" s="8">
        <f>IFERROR(G46/H46,"")</f>
        <v/>
      </c>
      <c r="L46" s="13">
        <f>IFERROR(J46/H46,"")</f>
        <v/>
      </c>
      <c r="M46" s="7" t="n">
        <v>119</v>
      </c>
      <c r="N46" s="19" t="n">
        <v>35.7</v>
      </c>
      <c r="O46" s="19" t="n">
        <v>235</v>
      </c>
      <c r="P46" s="7" t="n">
        <v>9</v>
      </c>
      <c r="Q46" s="5" t="inlineStr">
        <is>
          <t>2024-01-29</t>
        </is>
      </c>
      <c r="R46" s="5" t="inlineStr">
        <is>
          <t>2024-03-31</t>
        </is>
      </c>
      <c r="S46" s="5" t="inlineStr">
        <is>
          <t>멜로/로맨스</t>
        </is>
      </c>
      <c r="T46" s="5" t="inlineStr">
        <is>
          <t>중국</t>
        </is>
      </c>
      <c r="U46" s="5" t="inlineStr">
        <is>
          <t>오드,홀리가든</t>
        </is>
      </c>
    </row>
    <row r="47">
      <c r="A47" s="5" t="inlineStr">
        <is>
          <t>극장판 총집편 걸즈 밴드 크라이 있잖아, 미래.</t>
        </is>
      </c>
      <c r="B47" s="5" t="inlineStr">
        <is>
          <t>2026-04-16</t>
        </is>
      </c>
      <c r="C47" s="5" t="inlineStr">
        <is>
          <t>2026-04-16</t>
        </is>
      </c>
      <c r="D47" s="5" t="inlineStr">
        <is>
          <t>신작</t>
        </is>
      </c>
      <c r="E47" s="5" t="inlineStr">
        <is>
          <t>애니메이션</t>
        </is>
      </c>
      <c r="F47" s="5" t="inlineStr">
        <is>
          <t>종영</t>
        </is>
      </c>
      <c r="G47" s="7" t="n">
        <v>17847</v>
      </c>
      <c r="H47" s="7" t="n">
        <v>19187</v>
      </c>
      <c r="I47" s="7" t="n">
        <v>100</v>
      </c>
      <c r="J47" s="7" t="n">
        <v>2920</v>
      </c>
      <c r="K47" s="8">
        <f>IFERROR(G47/H47,"")</f>
        <v/>
      </c>
      <c r="L47" s="13">
        <f>IFERROR(J47/H47,"")</f>
        <v/>
      </c>
      <c r="M47" s="7" t="n">
        <v>100</v>
      </c>
      <c r="N47" s="19" t="n">
        <v>22.8</v>
      </c>
      <c r="O47" s="19" t="n">
        <v>151</v>
      </c>
      <c r="P47" s="7" t="n">
        <v>8</v>
      </c>
      <c r="Q47" s="5" t="inlineStr">
        <is>
          <t>2026-04-13</t>
        </is>
      </c>
      <c r="R47" s="5" t="inlineStr">
        <is>
          <t>2026-06-07</t>
        </is>
      </c>
      <c r="S47" s="5" t="inlineStr">
        <is>
          <t>애니메이션</t>
        </is>
      </c>
      <c r="T47" s="5" t="inlineStr">
        <is>
          <t>일본</t>
        </is>
      </c>
      <c r="U47" s="5" t="inlineStr">
        <is>
          <t>(주)애니플러스</t>
        </is>
      </c>
    </row>
    <row r="48">
      <c r="A48" s="5" t="inlineStr">
        <is>
          <t>영원</t>
        </is>
      </c>
      <c r="B48" s="5" t="inlineStr">
        <is>
          <t>2026-02-04</t>
        </is>
      </c>
      <c r="C48" s="5" t="inlineStr">
        <is>
          <t>2026-02-04</t>
        </is>
      </c>
      <c r="D48" s="5" t="inlineStr">
        <is>
          <t>신작</t>
        </is>
      </c>
      <c r="E48" s="5" t="inlineStr">
        <is>
          <t>실사 외화</t>
        </is>
      </c>
      <c r="F48" s="5" t="inlineStr">
        <is>
          <t>종영</t>
        </is>
      </c>
      <c r="G48" s="7" t="n">
        <v>17528</v>
      </c>
      <c r="H48" s="7" t="n">
        <v>26870</v>
      </c>
      <c r="I48" s="7" t="n">
        <v>120</v>
      </c>
      <c r="J48" s="7" t="n">
        <v>1087</v>
      </c>
      <c r="K48" s="8">
        <f>IFERROR(G48/H48,"")</f>
        <v/>
      </c>
      <c r="L48" s="13">
        <f>IFERROR(J48/H48,"")</f>
        <v/>
      </c>
      <c r="M48" s="7" t="n">
        <v>116</v>
      </c>
      <c r="N48" s="19" t="n">
        <v>32.3</v>
      </c>
      <c r="O48" s="19" t="n">
        <v>158</v>
      </c>
      <c r="P48" s="7" t="n">
        <v>10</v>
      </c>
      <c r="Q48" s="5" t="inlineStr">
        <is>
          <t>2026-01-26</t>
        </is>
      </c>
      <c r="R48" s="5" t="inlineStr">
        <is>
          <t>2026-04-05</t>
        </is>
      </c>
      <c r="S48" s="5" t="inlineStr">
        <is>
          <t>멜로/로맨스,코미디,판타지</t>
        </is>
      </c>
      <c r="T48" s="5" t="inlineStr">
        <is>
          <t>미국</t>
        </is>
      </c>
      <c r="U48" s="5" t="inlineStr">
        <is>
          <t>워터홀컴퍼니(주)</t>
        </is>
      </c>
    </row>
    <row r="49">
      <c r="A49" s="20" t="inlineStr">
        <is>
          <t>워페어</t>
        </is>
      </c>
      <c r="B49" s="20" t="inlineStr">
        <is>
          <t>2026-08-19</t>
        </is>
      </c>
      <c r="C49" s="20" t="inlineStr">
        <is>
          <t>2026-08-19</t>
        </is>
      </c>
      <c r="D49" s="20" t="inlineStr">
        <is>
          <t>신작</t>
        </is>
      </c>
      <c r="E49" s="20" t="inlineStr">
        <is>
          <t>실사 외화</t>
        </is>
      </c>
      <c r="F49" s="20" t="inlineStr">
        <is>
          <t>상영중(잠정)</t>
        </is>
      </c>
      <c r="G49" s="21" t="n">
        <v>17119</v>
      </c>
      <c r="H49" s="21" t="n">
        <v>45012</v>
      </c>
      <c r="I49" s="21" t="n">
        <v>199</v>
      </c>
      <c r="J49" s="21" t="n">
        <v>3815</v>
      </c>
      <c r="K49" s="22">
        <f>IFERROR(G49/H49,"")</f>
        <v/>
      </c>
      <c r="L49" s="23">
        <f>IFERROR(J49/H49,"")</f>
        <v/>
      </c>
      <c r="M49" s="21" t="n">
        <v>188</v>
      </c>
      <c r="N49" s="24" t="n">
        <v>115.9</v>
      </c>
      <c r="O49" s="24" t="n">
        <v>176</v>
      </c>
      <c r="P49" s="21" t="n">
        <v>4</v>
      </c>
      <c r="Q49" s="20" t="inlineStr">
        <is>
          <t>2026-08-03</t>
        </is>
      </c>
      <c r="R49" s="20" t="inlineStr">
        <is>
          <t>2026-08-30</t>
        </is>
      </c>
      <c r="S49" s="20" t="inlineStr">
        <is>
          <t>액션,드라마,전쟁</t>
        </is>
      </c>
      <c r="T49" s="20" t="inlineStr">
        <is>
          <t>미국</t>
        </is>
      </c>
      <c r="U49" s="20" t="inlineStr">
        <is>
          <t>주식회사 올랄라스토리</t>
        </is>
      </c>
    </row>
    <row r="50">
      <c r="A50" s="5" t="inlineStr">
        <is>
          <t>코코</t>
        </is>
      </c>
      <c r="B50" s="5" t="inlineStr">
        <is>
          <t>2024-05-30</t>
        </is>
      </c>
      <c r="C50" s="5" t="inlineStr">
        <is>
          <t>2018-01-11</t>
        </is>
      </c>
      <c r="D50" s="5" t="inlineStr">
        <is>
          <t>재개봉/구작</t>
        </is>
      </c>
      <c r="E50" s="5" t="inlineStr">
        <is>
          <t>애니메이션</t>
        </is>
      </c>
      <c r="F50" s="5" t="inlineStr">
        <is>
          <t>종영</t>
        </is>
      </c>
      <c r="G50" s="7" t="n">
        <v>16917</v>
      </c>
      <c r="H50" s="7" t="n">
        <v>36952</v>
      </c>
      <c r="I50" s="7" t="n">
        <v>104</v>
      </c>
      <c r="J50" s="7" t="n">
        <v>3998</v>
      </c>
      <c r="K50" s="8">
        <f>IFERROR(G50/H50,"")</f>
        <v/>
      </c>
      <c r="L50" s="13">
        <f>IFERROR(J50/H50,"")</f>
        <v/>
      </c>
      <c r="M50" s="7" t="n">
        <v>104</v>
      </c>
      <c r="N50" s="19" t="n">
        <v>88</v>
      </c>
      <c r="O50" s="19" t="n">
        <v>250</v>
      </c>
      <c r="P50" s="7" t="n">
        <v>3</v>
      </c>
      <c r="Q50" s="5" t="inlineStr">
        <is>
          <t>2024-05-27</t>
        </is>
      </c>
      <c r="R50" s="5" t="inlineStr">
        <is>
          <t>2024-06-16</t>
        </is>
      </c>
      <c r="S50" s="5" t="inlineStr">
        <is>
          <t>애니메이션</t>
        </is>
      </c>
      <c r="T50" s="5" t="inlineStr">
        <is>
          <t>미국</t>
        </is>
      </c>
      <c r="U50" s="5" t="inlineStr">
        <is>
          <t>월트디즈니컴퍼니코리아 유한책임회사</t>
        </is>
      </c>
    </row>
    <row r="51">
      <c r="A51" s="5" t="inlineStr">
        <is>
          <t>첫여름</t>
        </is>
      </c>
      <c r="B51" s="5" t="inlineStr">
        <is>
          <t>2025-08-06</t>
        </is>
      </c>
      <c r="C51" s="5" t="inlineStr"/>
      <c r="D51" s="5" t="inlineStr">
        <is>
          <t>재개봉/구작</t>
        </is>
      </c>
      <c r="E51" s="5" t="inlineStr">
        <is>
          <t>실사 한국</t>
        </is>
      </c>
      <c r="F51" s="5" t="inlineStr">
        <is>
          <t>종영</t>
        </is>
      </c>
      <c r="G51" s="7" t="n">
        <v>16906</v>
      </c>
      <c r="H51" s="7" t="n">
        <v>13702</v>
      </c>
      <c r="I51" s="7" t="n">
        <v>85</v>
      </c>
      <c r="J51" s="7" t="n">
        <v>1595</v>
      </c>
      <c r="K51" s="8">
        <f>IFERROR(G51/H51,"")</f>
        <v/>
      </c>
      <c r="L51" s="13">
        <f>IFERROR(J51/H51,"")</f>
        <v/>
      </c>
      <c r="M51" s="7" t="n">
        <v>85</v>
      </c>
      <c r="N51" s="19" t="n">
        <v>32.3</v>
      </c>
      <c r="O51" s="19" t="n">
        <v>132</v>
      </c>
      <c r="P51" s="7" t="n">
        <v>10</v>
      </c>
      <c r="Q51" s="5" t="inlineStr">
        <is>
          <t>2025-07-28</t>
        </is>
      </c>
      <c r="R51" s="5" t="inlineStr">
        <is>
          <t>2025-10-05</t>
        </is>
      </c>
      <c r="S51" s="5" t="inlineStr">
        <is>
          <t>드라마</t>
        </is>
      </c>
      <c r="T51" s="5" t="inlineStr">
        <is>
          <t>한국</t>
        </is>
      </c>
      <c r="U51" s="5" t="inlineStr">
        <is>
          <t>한국영화아카데미</t>
        </is>
      </c>
    </row>
    <row r="52">
      <c r="A52" s="5" t="inlineStr">
        <is>
          <t>가타카</t>
        </is>
      </c>
      <c r="B52" s="5" t="inlineStr">
        <is>
          <t>2025-11-20</t>
        </is>
      </c>
      <c r="C52" s="5" t="inlineStr">
        <is>
          <t>1998-05-02</t>
        </is>
      </c>
      <c r="D52" s="5" t="inlineStr">
        <is>
          <t>재개봉/구작</t>
        </is>
      </c>
      <c r="E52" s="5" t="inlineStr">
        <is>
          <t>실사 외화</t>
        </is>
      </c>
      <c r="F52" s="5" t="inlineStr">
        <is>
          <t>종영</t>
        </is>
      </c>
      <c r="G52" s="7" t="n">
        <v>16560</v>
      </c>
      <c r="H52" s="7" t="n">
        <v>15383</v>
      </c>
      <c r="I52" s="7" t="n">
        <v>71</v>
      </c>
      <c r="J52" s="7" t="n">
        <v>1388</v>
      </c>
      <c r="K52" s="8">
        <f>IFERROR(G52/H52,"")</f>
        <v/>
      </c>
      <c r="L52" s="13">
        <f>IFERROR(J52/H52,"")</f>
        <v/>
      </c>
      <c r="M52" s="7" t="n">
        <v>72</v>
      </c>
      <c r="N52" s="19" t="n">
        <v>26.7</v>
      </c>
      <c r="O52" s="19" t="n">
        <v>148</v>
      </c>
      <c r="P52" s="7" t="n">
        <v>7</v>
      </c>
      <c r="Q52" s="5" t="inlineStr">
        <is>
          <t>2025-11-17</t>
        </is>
      </c>
      <c r="R52" s="5" t="inlineStr">
        <is>
          <t>2026-01-04</t>
        </is>
      </c>
      <c r="S52" s="5" t="inlineStr">
        <is>
          <t>SF,드라마,미스터리,스릴러</t>
        </is>
      </c>
      <c r="T52" s="5" t="inlineStr">
        <is>
          <t>미국</t>
        </is>
      </c>
      <c r="U52" s="5" t="inlineStr"/>
    </row>
    <row r="53">
      <c r="A53" s="5" t="inlineStr">
        <is>
          <t>극장판 츠루네: 시작의 한 발</t>
        </is>
      </c>
      <c r="B53" s="5" t="inlineStr">
        <is>
          <t>2024-02-21</t>
        </is>
      </c>
      <c r="C53" s="5" t="inlineStr">
        <is>
          <t>2024-02-21</t>
        </is>
      </c>
      <c r="D53" s="5" t="inlineStr">
        <is>
          <t>신작</t>
        </is>
      </c>
      <c r="E53" s="5" t="inlineStr">
        <is>
          <t>애니메이션</t>
        </is>
      </c>
      <c r="F53" s="5" t="inlineStr">
        <is>
          <t>종영</t>
        </is>
      </c>
      <c r="G53" s="7" t="n">
        <v>16531</v>
      </c>
      <c r="H53" s="7" t="n">
        <v>33564</v>
      </c>
      <c r="I53" s="7" t="n">
        <v>119</v>
      </c>
      <c r="J53" s="7" t="n">
        <v>3654</v>
      </c>
      <c r="K53" s="8">
        <f>IFERROR(G53/H53,"")</f>
        <v/>
      </c>
      <c r="L53" s="13">
        <f>IFERROR(J53/H53,"")</f>
        <v/>
      </c>
      <c r="M53" s="7" t="n">
        <v>118</v>
      </c>
      <c r="N53" s="19" t="n">
        <v>34.3</v>
      </c>
      <c r="O53" s="19" t="n">
        <v>149</v>
      </c>
      <c r="P53" s="7" t="n">
        <v>8</v>
      </c>
      <c r="Q53" s="5" t="inlineStr">
        <is>
          <t>2024-02-12</t>
        </is>
      </c>
      <c r="R53" s="5" t="inlineStr">
        <is>
          <t>2024-04-07</t>
        </is>
      </c>
      <c r="S53" s="5" t="inlineStr">
        <is>
          <t>애니메이션</t>
        </is>
      </c>
      <c r="T53" s="5" t="inlineStr">
        <is>
          <t>일본</t>
        </is>
      </c>
      <c r="U53" s="5" t="inlineStr">
        <is>
          <t>(주)라이크콘텐츠</t>
        </is>
      </c>
    </row>
    <row r="54">
      <c r="A54" s="5" t="inlineStr">
        <is>
          <t>중경삼림</t>
        </is>
      </c>
      <c r="B54" s="5" t="inlineStr">
        <is>
          <t>2024-02-14</t>
        </is>
      </c>
      <c r="C54" s="5" t="inlineStr">
        <is>
          <t>1995-09-02</t>
        </is>
      </c>
      <c r="D54" s="5" t="inlineStr">
        <is>
          <t>재개봉/구작</t>
        </is>
      </c>
      <c r="E54" s="5" t="inlineStr">
        <is>
          <t>실사 외화</t>
        </is>
      </c>
      <c r="F54" s="5" t="inlineStr">
        <is>
          <t>종영</t>
        </is>
      </c>
      <c r="G54" s="7" t="n">
        <v>16102</v>
      </c>
      <c r="H54" s="7" t="n">
        <v>6776</v>
      </c>
      <c r="I54" s="7" t="n">
        <v>53</v>
      </c>
      <c r="J54" s="7" t="n">
        <v>1390</v>
      </c>
      <c r="K54" s="8">
        <f>IFERROR(G54/H54,"")</f>
        <v/>
      </c>
      <c r="L54" s="13">
        <f>IFERROR(J54/H54,"")</f>
        <v/>
      </c>
      <c r="M54" s="7" t="n">
        <v>53</v>
      </c>
      <c r="N54" s="19" t="n">
        <v>11.3</v>
      </c>
      <c r="O54" s="19" t="n">
        <v>111</v>
      </c>
      <c r="P54" s="7" t="n">
        <v>14</v>
      </c>
      <c r="Q54" s="5" t="inlineStr">
        <is>
          <t>2024-02-12</t>
        </is>
      </c>
      <c r="R54" s="5" t="inlineStr">
        <is>
          <t>2024-05-19</t>
        </is>
      </c>
      <c r="S54" s="5" t="inlineStr">
        <is>
          <t>드라마</t>
        </is>
      </c>
      <c r="T54" s="5" t="inlineStr">
        <is>
          <t>홍콩</t>
        </is>
      </c>
      <c r="U54" s="5" t="inlineStr">
        <is>
          <t>(주)디스테이션</t>
        </is>
      </c>
    </row>
    <row r="55">
      <c r="A55" s="5" t="inlineStr">
        <is>
          <t>해피 투게더</t>
        </is>
      </c>
      <c r="B55" s="5" t="inlineStr">
        <is>
          <t>2023-03-30</t>
        </is>
      </c>
      <c r="C55" s="5" t="inlineStr">
        <is>
          <t>1998-08-22</t>
        </is>
      </c>
      <c r="D55" s="5" t="inlineStr">
        <is>
          <t>재개봉/구작</t>
        </is>
      </c>
      <c r="E55" s="5" t="inlineStr">
        <is>
          <t>실사 외화</t>
        </is>
      </c>
      <c r="F55" s="5" t="inlineStr">
        <is>
          <t>종영</t>
        </is>
      </c>
      <c r="G55" s="7" t="n">
        <v>15835</v>
      </c>
      <c r="H55" s="7" t="n">
        <v>36350</v>
      </c>
      <c r="I55" s="7" t="n">
        <v>140</v>
      </c>
      <c r="J55" s="7" t="n">
        <v>7147</v>
      </c>
      <c r="K55" s="8">
        <f>IFERROR(G55/H55,"")</f>
        <v/>
      </c>
      <c r="L55" s="13">
        <f>IFERROR(J55/H55,"")</f>
        <v/>
      </c>
      <c r="M55" s="7" t="n">
        <v>129</v>
      </c>
      <c r="N55" s="19" t="n">
        <v>42.1</v>
      </c>
      <c r="O55" s="19" t="n">
        <v>186</v>
      </c>
      <c r="P55" s="7" t="n">
        <v>5</v>
      </c>
      <c r="Q55" s="5" t="inlineStr">
        <is>
          <t>2023-03-27</t>
        </is>
      </c>
      <c r="R55" s="5" t="inlineStr">
        <is>
          <t>2023-04-30</t>
        </is>
      </c>
      <c r="S55" s="5" t="inlineStr">
        <is>
          <t>드라마,멜로/로맨스</t>
        </is>
      </c>
      <c r="T55" s="5" t="inlineStr">
        <is>
          <t>홍콩</t>
        </is>
      </c>
      <c r="U55" s="5" t="inlineStr">
        <is>
          <t>(주)디스테이션</t>
        </is>
      </c>
    </row>
    <row r="56">
      <c r="A56" s="5" t="inlineStr">
        <is>
          <t>히어</t>
        </is>
      </c>
      <c r="B56" s="5" t="inlineStr">
        <is>
          <t>2025-02-19</t>
        </is>
      </c>
      <c r="C56" s="5" t="inlineStr">
        <is>
          <t>2025-02-19</t>
        </is>
      </c>
      <c r="D56" s="5" t="inlineStr">
        <is>
          <t>신작</t>
        </is>
      </c>
      <c r="E56" s="5" t="inlineStr">
        <is>
          <t>실사 외화</t>
        </is>
      </c>
      <c r="F56" s="5" t="inlineStr">
        <is>
          <t>종영</t>
        </is>
      </c>
      <c r="G56" s="7" t="n">
        <v>15435</v>
      </c>
      <c r="H56" s="7" t="n">
        <v>50640</v>
      </c>
      <c r="I56" s="7" t="n">
        <v>144</v>
      </c>
      <c r="J56" s="7" t="n">
        <v>3227</v>
      </c>
      <c r="K56" s="8">
        <f>IFERROR(G56/H56,"")</f>
        <v/>
      </c>
      <c r="L56" s="13">
        <f>IFERROR(J56/H56,"")</f>
        <v/>
      </c>
      <c r="M56" s="7" t="n">
        <v>112</v>
      </c>
      <c r="N56" s="19" t="n">
        <v>44.2</v>
      </c>
      <c r="O56" s="19" t="n">
        <v>212</v>
      </c>
      <c r="P56" s="7" t="n">
        <v>6</v>
      </c>
      <c r="Q56" s="5" t="inlineStr">
        <is>
          <t>2025-02-10</t>
        </is>
      </c>
      <c r="R56" s="5" t="inlineStr">
        <is>
          <t>2025-03-23</t>
        </is>
      </c>
      <c r="S56" s="5" t="inlineStr">
        <is>
          <t>드라마</t>
        </is>
      </c>
      <c r="T56" s="5" t="inlineStr">
        <is>
          <t>미국</t>
        </is>
      </c>
      <c r="U56" s="5" t="inlineStr">
        <is>
          <t>메가박스중앙(주),(주)이놀미디어</t>
        </is>
      </c>
    </row>
    <row r="57">
      <c r="A57" s="5" t="inlineStr">
        <is>
          <t>영웅: 라이브 인 시네마</t>
        </is>
      </c>
      <c r="B57" s="5" t="inlineStr">
        <is>
          <t>2024-08-21</t>
        </is>
      </c>
      <c r="C57" s="5" t="inlineStr">
        <is>
          <t>2024-08-21</t>
        </is>
      </c>
      <c r="D57" s="5" t="inlineStr">
        <is>
          <t>신작</t>
        </is>
      </c>
      <c r="E57" s="5" t="inlineStr">
        <is>
          <t>공연·실황</t>
        </is>
      </c>
      <c r="F57" s="5" t="inlineStr">
        <is>
          <t>종영</t>
        </is>
      </c>
      <c r="G57" s="7" t="n">
        <v>15141</v>
      </c>
      <c r="H57" s="7" t="n">
        <v>6291</v>
      </c>
      <c r="I57" s="7" t="n">
        <v>21</v>
      </c>
      <c r="J57" s="7" t="n">
        <v>803</v>
      </c>
      <c r="K57" s="8">
        <f>IFERROR(G57/H57,"")</f>
        <v/>
      </c>
      <c r="L57" s="13">
        <f>IFERROR(J57/H57,"")</f>
        <v/>
      </c>
      <c r="M57" s="7" t="n">
        <v>98</v>
      </c>
      <c r="N57" s="19" t="n">
        <v>24.5</v>
      </c>
      <c r="O57" s="19" t="n">
        <v>154</v>
      </c>
      <c r="P57" s="7" t="n">
        <v>18</v>
      </c>
      <c r="Q57" s="5" t="inlineStr">
        <is>
          <t>2024-08-12</t>
        </is>
      </c>
      <c r="R57" s="5" t="inlineStr">
        <is>
          <t>2024-12-15</t>
        </is>
      </c>
      <c r="S57" s="5" t="inlineStr">
        <is>
          <t>공연,뮤지컬</t>
        </is>
      </c>
      <c r="T57" s="5" t="inlineStr">
        <is>
          <t>한국</t>
        </is>
      </c>
      <c r="U57" s="5" t="inlineStr">
        <is>
          <t>(주)위즈온센,메가박스중앙(주)</t>
        </is>
      </c>
    </row>
    <row r="58">
      <c r="A58" s="5" t="inlineStr">
        <is>
          <t>철도원</t>
        </is>
      </c>
      <c r="B58" s="5" t="inlineStr">
        <is>
          <t>2026-01-07</t>
        </is>
      </c>
      <c r="C58" s="5" t="inlineStr">
        <is>
          <t>2000-02-04</t>
        </is>
      </c>
      <c r="D58" s="5" t="inlineStr">
        <is>
          <t>재개봉/구작</t>
        </is>
      </c>
      <c r="E58" s="5" t="inlineStr">
        <is>
          <t>실사 외화</t>
        </is>
      </c>
      <c r="F58" s="5" t="inlineStr">
        <is>
          <t>종영</t>
        </is>
      </c>
      <c r="G58" s="7" t="n">
        <v>14997</v>
      </c>
      <c r="H58" s="7" t="n">
        <v>24542</v>
      </c>
      <c r="I58" s="7" t="n">
        <v>127</v>
      </c>
      <c r="J58" s="7" t="n">
        <v>1289</v>
      </c>
      <c r="K58" s="8">
        <f>IFERROR(G58/H58,"")</f>
        <v/>
      </c>
      <c r="L58" s="13">
        <f>IFERROR(J58/H58,"")</f>
        <v/>
      </c>
      <c r="M58" s="7" t="n">
        <v>123</v>
      </c>
      <c r="N58" s="19" t="n">
        <v>53.5</v>
      </c>
      <c r="O58" s="19" t="n">
        <v>147</v>
      </c>
      <c r="P58" s="7" t="n">
        <v>5</v>
      </c>
      <c r="Q58" s="5" t="inlineStr">
        <is>
          <t>2026-01-05</t>
        </is>
      </c>
      <c r="R58" s="5" t="inlineStr">
        <is>
          <t>2026-02-08</t>
        </is>
      </c>
      <c r="S58" s="5" t="inlineStr">
        <is>
          <t>가족,드라마</t>
        </is>
      </c>
      <c r="T58" s="5" t="inlineStr">
        <is>
          <t>일본</t>
        </is>
      </c>
      <c r="U58" s="5" t="inlineStr">
        <is>
          <t>와이드 릴리즈(주)</t>
        </is>
      </c>
    </row>
    <row r="59">
      <c r="A59" s="5" t="inlineStr">
        <is>
          <t>엑소시스트: 더 바티칸</t>
        </is>
      </c>
      <c r="B59" s="5" t="inlineStr">
        <is>
          <t>2023-05-10</t>
        </is>
      </c>
      <c r="C59" s="5" t="inlineStr">
        <is>
          <t>2023-05-10</t>
        </is>
      </c>
      <c r="D59" s="5" t="inlineStr">
        <is>
          <t>신작</t>
        </is>
      </c>
      <c r="E59" s="5" t="inlineStr">
        <is>
          <t>실사 외화</t>
        </is>
      </c>
      <c r="F59" s="5" t="inlineStr">
        <is>
          <t>종영</t>
        </is>
      </c>
      <c r="G59" s="7" t="n">
        <v>14639</v>
      </c>
      <c r="H59" s="7" t="n">
        <v>43011</v>
      </c>
      <c r="I59" s="7" t="n">
        <v>129</v>
      </c>
      <c r="J59" s="7" t="n">
        <v>2373</v>
      </c>
      <c r="K59" s="8">
        <f>IFERROR(G59/H59,"")</f>
        <v/>
      </c>
      <c r="L59" s="13">
        <f>IFERROR(J59/H59,"")</f>
        <v/>
      </c>
      <c r="M59" s="7" t="n">
        <v>127</v>
      </c>
      <c r="N59" s="19" t="n">
        <v>54.2</v>
      </c>
      <c r="O59" s="19" t="n">
        <v>224</v>
      </c>
      <c r="P59" s="7" t="n">
        <v>5</v>
      </c>
      <c r="Q59" s="5" t="inlineStr">
        <is>
          <t>2023-05-01</t>
        </is>
      </c>
      <c r="R59" s="5" t="inlineStr">
        <is>
          <t>2023-06-04</t>
        </is>
      </c>
      <c r="S59" s="5" t="inlineStr">
        <is>
          <t>공포(호러)</t>
        </is>
      </c>
      <c r="T59" s="5" t="inlineStr">
        <is>
          <t>미국</t>
        </is>
      </c>
      <c r="U59" s="5" t="inlineStr">
        <is>
          <t>소니픽쳐스엔터테인먼트코리아주식회사극장배급지점</t>
        </is>
      </c>
    </row>
    <row r="60">
      <c r="A60" s="5" t="inlineStr">
        <is>
          <t>슈퍼소닉</t>
        </is>
      </c>
      <c r="B60" s="5" t="inlineStr">
        <is>
          <t>2025-08-29</t>
        </is>
      </c>
      <c r="C60" s="5" t="inlineStr">
        <is>
          <t>2016-11-24</t>
        </is>
      </c>
      <c r="D60" s="5" t="inlineStr">
        <is>
          <t>재개봉/구작</t>
        </is>
      </c>
      <c r="E60" s="5" t="inlineStr">
        <is>
          <t>실사 외화</t>
        </is>
      </c>
      <c r="F60" s="5" t="inlineStr">
        <is>
          <t>종영</t>
        </is>
      </c>
      <c r="G60" s="7" t="n">
        <v>14607</v>
      </c>
      <c r="H60" s="7" t="n">
        <v>25786</v>
      </c>
      <c r="I60" s="7" t="n">
        <v>124</v>
      </c>
      <c r="J60" s="7" t="n">
        <v>3774</v>
      </c>
      <c r="K60" s="8">
        <f>IFERROR(G60/H60,"")</f>
        <v/>
      </c>
      <c r="L60" s="13">
        <f>IFERROR(J60/H60,"")</f>
        <v/>
      </c>
      <c r="M60" s="7" t="n">
        <v>93</v>
      </c>
      <c r="N60" s="19" t="n">
        <v>39.8</v>
      </c>
      <c r="O60" s="19" t="n">
        <v>158</v>
      </c>
      <c r="P60" s="7" t="n">
        <v>6</v>
      </c>
      <c r="Q60" s="5" t="inlineStr">
        <is>
          <t>2025-08-18</t>
        </is>
      </c>
      <c r="R60" s="5" t="inlineStr">
        <is>
          <t>2025-09-28</t>
        </is>
      </c>
      <c r="S60" s="5" t="inlineStr">
        <is>
          <t>다큐멘터리</t>
        </is>
      </c>
      <c r="T60" s="5" t="inlineStr">
        <is>
          <t>영국</t>
        </is>
      </c>
      <c r="U60" s="5" t="inlineStr">
        <is>
          <t>(주)레드아이스 엔터테인먼트,주식회사 씨네룩스</t>
        </is>
      </c>
    </row>
    <row r="61">
      <c r="A61" s="5" t="inlineStr">
        <is>
          <t>커미션</t>
        </is>
      </c>
      <c r="B61" s="5" t="inlineStr">
        <is>
          <t>2025-07-16</t>
        </is>
      </c>
      <c r="C61" s="5" t="inlineStr">
        <is>
          <t>2025-07-16</t>
        </is>
      </c>
      <c r="D61" s="5" t="inlineStr">
        <is>
          <t>신작</t>
        </is>
      </c>
      <c r="E61" s="5" t="inlineStr">
        <is>
          <t>실사 한국</t>
        </is>
      </c>
      <c r="F61" s="5" t="inlineStr">
        <is>
          <t>종영</t>
        </is>
      </c>
      <c r="G61" s="7" t="n">
        <v>14415</v>
      </c>
      <c r="H61" s="7" t="n">
        <v>22780</v>
      </c>
      <c r="I61" s="7" t="n">
        <v>127</v>
      </c>
      <c r="J61" s="7" t="n">
        <v>2688</v>
      </c>
      <c r="K61" s="8">
        <f>IFERROR(G61/H61,"")</f>
        <v/>
      </c>
      <c r="L61" s="13">
        <f>IFERROR(J61/H61,"")</f>
        <v/>
      </c>
      <c r="M61" s="7" t="n">
        <v>126</v>
      </c>
      <c r="N61" s="19" t="n">
        <v>49.1</v>
      </c>
      <c r="O61" s="19" t="n">
        <v>142</v>
      </c>
      <c r="P61" s="7" t="n">
        <v>5</v>
      </c>
      <c r="Q61" s="5" t="inlineStr">
        <is>
          <t>2025-07-07</t>
        </is>
      </c>
      <c r="R61" s="5" t="inlineStr">
        <is>
          <t>2025-08-10</t>
        </is>
      </c>
      <c r="S61" s="5" t="inlineStr">
        <is>
          <t>미스터리,스릴러</t>
        </is>
      </c>
      <c r="T61" s="5" t="inlineStr">
        <is>
          <t>한국</t>
        </is>
      </c>
      <c r="U61" s="5" t="inlineStr">
        <is>
          <t>(주)팬엔터테인먼트,(주)미디어캐슬</t>
        </is>
      </c>
    </row>
    <row r="62">
      <c r="A62" s="5" t="inlineStr">
        <is>
          <t>씰벤져스 : 용감한 바다특공대</t>
        </is>
      </c>
      <c r="B62" s="5" t="inlineStr">
        <is>
          <t>2023-09-27</t>
        </is>
      </c>
      <c r="C62" s="5" t="inlineStr">
        <is>
          <t>2023-09-27</t>
        </is>
      </c>
      <c r="D62" s="5" t="inlineStr">
        <is>
          <t>신작</t>
        </is>
      </c>
      <c r="E62" s="5" t="inlineStr">
        <is>
          <t>애니메이션</t>
        </is>
      </c>
      <c r="F62" s="5" t="inlineStr">
        <is>
          <t>종영</t>
        </is>
      </c>
      <c r="G62" s="7" t="n">
        <v>14209</v>
      </c>
      <c r="H62" s="7" t="n">
        <v>10144</v>
      </c>
      <c r="I62" s="7" t="n">
        <v>79</v>
      </c>
      <c r="J62" s="7" t="n">
        <v>608</v>
      </c>
      <c r="K62" s="8">
        <f>IFERROR(G62/H62,"")</f>
        <v/>
      </c>
      <c r="L62" s="13">
        <f>IFERROR(J62/H62,"")</f>
        <v/>
      </c>
      <c r="M62" s="7" t="n">
        <v>109</v>
      </c>
      <c r="N62" s="19" t="n">
        <v>35</v>
      </c>
      <c r="O62" s="19" t="n">
        <v>145</v>
      </c>
      <c r="P62" s="7" t="n">
        <v>8</v>
      </c>
      <c r="Q62" s="5" t="inlineStr">
        <is>
          <t>2023-09-18</t>
        </is>
      </c>
      <c r="R62" s="5" t="inlineStr">
        <is>
          <t>2023-11-12</t>
        </is>
      </c>
      <c r="S62" s="5" t="inlineStr">
        <is>
          <t>애니메이션,액션,코미디,어드벤처</t>
        </is>
      </c>
      <c r="T62" s="5" t="inlineStr">
        <is>
          <t>미국</t>
        </is>
      </c>
      <c r="U62" s="5" t="inlineStr">
        <is>
          <t>(주)무비다이브</t>
        </is>
      </c>
    </row>
    <row r="63">
      <c r="A63" s="5" t="inlineStr">
        <is>
          <t>오피셜히게단디즘 라이브 앳 스타디움 2025</t>
        </is>
      </c>
      <c r="B63" s="5" t="inlineStr">
        <is>
          <t>2026-04-02</t>
        </is>
      </c>
      <c r="C63" s="5" t="inlineStr">
        <is>
          <t>2026-04-02</t>
        </is>
      </c>
      <c r="D63" s="5" t="inlineStr">
        <is>
          <t>신작</t>
        </is>
      </c>
      <c r="E63" s="5" t="inlineStr">
        <is>
          <t>공연·실황</t>
        </is>
      </c>
      <c r="F63" s="5" t="inlineStr">
        <is>
          <t>종영</t>
        </is>
      </c>
      <c r="G63" s="7" t="n">
        <v>13842</v>
      </c>
      <c r="H63" s="7" t="n">
        <v>14556</v>
      </c>
      <c r="I63" s="7" t="n">
        <v>58</v>
      </c>
      <c r="J63" s="7" t="n">
        <v>3178</v>
      </c>
      <c r="K63" s="8">
        <f>IFERROR(G63/H63,"")</f>
        <v/>
      </c>
      <c r="L63" s="13">
        <f>IFERROR(J63/H63,"")</f>
        <v/>
      </c>
      <c r="M63" s="7" t="n">
        <v>58</v>
      </c>
      <c r="N63" s="19" t="n">
        <v>19.2</v>
      </c>
      <c r="O63" s="19" t="n">
        <v>195</v>
      </c>
      <c r="P63" s="7" t="n">
        <v>8</v>
      </c>
      <c r="Q63" s="5" t="inlineStr">
        <is>
          <t>2026-03-30</t>
        </is>
      </c>
      <c r="R63" s="5" t="inlineStr">
        <is>
          <t>2026-05-24</t>
        </is>
      </c>
      <c r="S63" s="5" t="inlineStr">
        <is>
          <t>공연</t>
        </is>
      </c>
      <c r="T63" s="5" t="inlineStr">
        <is>
          <t>일본</t>
        </is>
      </c>
      <c r="U63" s="5" t="inlineStr">
        <is>
          <t>(주)영화사 그램</t>
        </is>
      </c>
    </row>
    <row r="64">
      <c r="A64" s="5" t="inlineStr">
        <is>
          <t>크리스마스에 기적을 만날 확률</t>
        </is>
      </c>
      <c r="B64" s="5" t="inlineStr">
        <is>
          <t>2024-12-11</t>
        </is>
      </c>
      <c r="C64" s="5" t="inlineStr">
        <is>
          <t>2007-12-12</t>
        </is>
      </c>
      <c r="D64" s="5" t="inlineStr">
        <is>
          <t>재개봉/구작</t>
        </is>
      </c>
      <c r="E64" s="5" t="inlineStr">
        <is>
          <t>애니메이션</t>
        </is>
      </c>
      <c r="F64" s="5" t="inlineStr">
        <is>
          <t>종영</t>
        </is>
      </c>
      <c r="G64" s="7" t="n">
        <v>13312</v>
      </c>
      <c r="H64" s="7" t="n">
        <v>21229</v>
      </c>
      <c r="I64" s="7" t="n">
        <v>117</v>
      </c>
      <c r="J64" s="7" t="n">
        <v>1827</v>
      </c>
      <c r="K64" s="8">
        <f>IFERROR(G64/H64,"")</f>
        <v/>
      </c>
      <c r="L64" s="13">
        <f>IFERROR(J64/H64,"")</f>
        <v/>
      </c>
      <c r="M64" s="7" t="n">
        <v>110</v>
      </c>
      <c r="N64" s="19" t="n">
        <v>35.6</v>
      </c>
      <c r="O64" s="19" t="n">
        <v>139</v>
      </c>
      <c r="P64" s="7" t="n">
        <v>7</v>
      </c>
      <c r="Q64" s="5" t="inlineStr">
        <is>
          <t>2024-12-09</t>
        </is>
      </c>
      <c r="R64" s="5" t="inlineStr">
        <is>
          <t>2025-01-26</t>
        </is>
      </c>
      <c r="S64" s="5" t="inlineStr">
        <is>
          <t>애니메이션,드라마,액션</t>
        </is>
      </c>
      <c r="T64" s="5" t="inlineStr">
        <is>
          <t>일본</t>
        </is>
      </c>
      <c r="U64" s="5" t="inlineStr">
        <is>
          <t>(주)팝엔터테인먼트,롯데쇼핑㈜롯데엔터테인먼트</t>
        </is>
      </c>
    </row>
    <row r="65">
      <c r="A65" s="5" t="inlineStr">
        <is>
          <t>극장판 오버로드 성왕국편</t>
        </is>
      </c>
      <c r="B65" s="5" t="inlineStr">
        <is>
          <t>2024-11-14</t>
        </is>
      </c>
      <c r="C65" s="5" t="inlineStr">
        <is>
          <t>2024-11-14</t>
        </is>
      </c>
      <c r="D65" s="5" t="inlineStr">
        <is>
          <t>신작</t>
        </is>
      </c>
      <c r="E65" s="5" t="inlineStr">
        <is>
          <t>애니메이션</t>
        </is>
      </c>
      <c r="F65" s="5" t="inlineStr">
        <is>
          <t>종영</t>
        </is>
      </c>
      <c r="G65" s="7" t="n">
        <v>12788</v>
      </c>
      <c r="H65" s="7" t="n">
        <v>13324</v>
      </c>
      <c r="I65" s="7" t="n">
        <v>78</v>
      </c>
      <c r="J65" s="7" t="n">
        <v>2040</v>
      </c>
      <c r="K65" s="8">
        <f>IFERROR(G65/H65,"")</f>
        <v/>
      </c>
      <c r="L65" s="13">
        <f>IFERROR(J65/H65,"")</f>
        <v/>
      </c>
      <c r="M65" s="7" t="n">
        <v>78</v>
      </c>
      <c r="N65" s="19" t="n">
        <v>33.9</v>
      </c>
      <c r="O65" s="19" t="n">
        <v>130</v>
      </c>
      <c r="P65" s="7" t="n">
        <v>7</v>
      </c>
      <c r="Q65" s="5" t="inlineStr">
        <is>
          <t>2024-11-11</t>
        </is>
      </c>
      <c r="R65" s="5" t="inlineStr">
        <is>
          <t>2024-12-29</t>
        </is>
      </c>
      <c r="S65" s="5" t="inlineStr">
        <is>
          <t>애니메이션</t>
        </is>
      </c>
      <c r="T65" s="5" t="inlineStr">
        <is>
          <t>일본</t>
        </is>
      </c>
      <c r="U65" s="5" t="inlineStr">
        <is>
          <t>(주)애니플러스</t>
        </is>
      </c>
    </row>
    <row r="66">
      <c r="A66" s="5" t="inlineStr">
        <is>
          <t>그리드맨 유니버스</t>
        </is>
      </c>
      <c r="B66" s="5" t="inlineStr">
        <is>
          <t>2025-05-21</t>
        </is>
      </c>
      <c r="C66" s="5" t="inlineStr">
        <is>
          <t>2025-05-21</t>
        </is>
      </c>
      <c r="D66" s="5" t="inlineStr">
        <is>
          <t>신작</t>
        </is>
      </c>
      <c r="E66" s="5" t="inlineStr">
        <is>
          <t>애니메이션</t>
        </is>
      </c>
      <c r="F66" s="5" t="inlineStr">
        <is>
          <t>종영</t>
        </is>
      </c>
      <c r="G66" s="7" t="n">
        <v>12510</v>
      </c>
      <c r="H66" s="7" t="n">
        <v>22581</v>
      </c>
      <c r="I66" s="7" t="n">
        <v>102</v>
      </c>
      <c r="J66" s="7" t="n">
        <v>1608</v>
      </c>
      <c r="K66" s="8">
        <f>IFERROR(G66/H66,"")</f>
        <v/>
      </c>
      <c r="L66" s="13">
        <f>IFERROR(J66/H66,"")</f>
        <v/>
      </c>
      <c r="M66" s="7" t="n">
        <v>101</v>
      </c>
      <c r="N66" s="19" t="n">
        <v>31.8</v>
      </c>
      <c r="O66" s="19" t="n">
        <v>148</v>
      </c>
      <c r="P66" s="7" t="n">
        <v>8</v>
      </c>
      <c r="Q66" s="5" t="inlineStr">
        <is>
          <t>2025-05-12</t>
        </is>
      </c>
      <c r="R66" s="5" t="inlineStr">
        <is>
          <t>2025-07-06</t>
        </is>
      </c>
      <c r="S66" s="5" t="inlineStr">
        <is>
          <t>애니메이션</t>
        </is>
      </c>
      <c r="T66" s="5" t="inlineStr">
        <is>
          <t>일본</t>
        </is>
      </c>
      <c r="U66" s="5" t="inlineStr">
        <is>
          <t>(주)미디어캐슬</t>
        </is>
      </c>
    </row>
    <row r="67">
      <c r="A67" s="5" t="inlineStr">
        <is>
          <t>킹 오브 프리즘 -드라마틱 프리즘.1-</t>
        </is>
      </c>
      <c r="B67" s="5" t="inlineStr">
        <is>
          <t>2024-08-16</t>
        </is>
      </c>
      <c r="C67" s="5" t="inlineStr">
        <is>
          <t>2024-08-16</t>
        </is>
      </c>
      <c r="D67" s="5" t="inlineStr">
        <is>
          <t>신작</t>
        </is>
      </c>
      <c r="E67" s="5" t="inlineStr">
        <is>
          <t>애니메이션</t>
        </is>
      </c>
      <c r="F67" s="5" t="inlineStr">
        <is>
          <t>종영</t>
        </is>
      </c>
      <c r="G67" s="7" t="n">
        <v>12396</v>
      </c>
      <c r="H67" s="7" t="n">
        <v>10626</v>
      </c>
      <c r="I67" s="7" t="n">
        <v>59</v>
      </c>
      <c r="J67" s="7" t="n">
        <v>734</v>
      </c>
      <c r="K67" s="8">
        <f>IFERROR(G67/H67,"")</f>
        <v/>
      </c>
      <c r="L67" s="13">
        <f>IFERROR(J67/H67,"")</f>
        <v/>
      </c>
      <c r="M67" s="7" t="n">
        <v>59</v>
      </c>
      <c r="N67" s="19" t="n">
        <v>7.6</v>
      </c>
      <c r="O67" s="19" t="n">
        <v>172</v>
      </c>
      <c r="P67" s="7" t="n">
        <v>22</v>
      </c>
      <c r="Q67" s="5" t="inlineStr">
        <is>
          <t>2024-08-12</t>
        </is>
      </c>
      <c r="R67" s="5" t="inlineStr">
        <is>
          <t>2025-01-12</t>
        </is>
      </c>
      <c r="S67" s="5" t="inlineStr">
        <is>
          <t>애니메이션,드라마</t>
        </is>
      </c>
      <c r="T67" s="5" t="inlineStr">
        <is>
          <t>일본</t>
        </is>
      </c>
      <c r="U67" s="5" t="inlineStr">
        <is>
          <t>동우에이앤이(주)</t>
        </is>
      </c>
    </row>
    <row r="68">
      <c r="A68" s="5" t="inlineStr">
        <is>
          <t>극장판 고래와 나</t>
        </is>
      </c>
      <c r="B68" s="5" t="inlineStr">
        <is>
          <t>2024-10-30</t>
        </is>
      </c>
      <c r="C68" s="5" t="inlineStr">
        <is>
          <t>2024-10-30</t>
        </is>
      </c>
      <c r="D68" s="5" t="inlineStr">
        <is>
          <t>신작</t>
        </is>
      </c>
      <c r="E68" s="5" t="inlineStr">
        <is>
          <t>실사 한국</t>
        </is>
      </c>
      <c r="F68" s="5" t="inlineStr">
        <is>
          <t>종영</t>
        </is>
      </c>
      <c r="G68" s="7" t="n">
        <v>11814</v>
      </c>
      <c r="H68" s="7" t="n">
        <v>21040</v>
      </c>
      <c r="I68" s="7" t="n">
        <v>118</v>
      </c>
      <c r="J68" s="7" t="n">
        <v>1021</v>
      </c>
      <c r="K68" s="8">
        <f>IFERROR(G68/H68,"")</f>
        <v/>
      </c>
      <c r="L68" s="13">
        <f>IFERROR(J68/H68,"")</f>
        <v/>
      </c>
      <c r="M68" s="7" t="n">
        <v>81</v>
      </c>
      <c r="N68" s="19" t="n">
        <v>27.2</v>
      </c>
      <c r="O68" s="19" t="n">
        <v>145</v>
      </c>
      <c r="P68" s="7" t="n">
        <v>9</v>
      </c>
      <c r="Q68" s="5" t="inlineStr">
        <is>
          <t>2024-10-14</t>
        </is>
      </c>
      <c r="R68" s="5" t="inlineStr">
        <is>
          <t>2024-12-15</t>
        </is>
      </c>
      <c r="S68" s="5" t="inlineStr">
        <is>
          <t>다큐멘터리</t>
        </is>
      </c>
      <c r="T68" s="5" t="inlineStr">
        <is>
          <t>한국</t>
        </is>
      </c>
      <c r="U68" s="5" t="inlineStr">
        <is>
          <t>주식회사 썬더필름</t>
        </is>
      </c>
    </row>
    <row r="69">
      <c r="A69" s="5" t="inlineStr">
        <is>
          <t>나의 행복한 결혼</t>
        </is>
      </c>
      <c r="B69" s="5" t="inlineStr">
        <is>
          <t>2023-10-11</t>
        </is>
      </c>
      <c r="C69" s="5" t="inlineStr">
        <is>
          <t>2023-10-11</t>
        </is>
      </c>
      <c r="D69" s="5" t="inlineStr">
        <is>
          <t>신작</t>
        </is>
      </c>
      <c r="E69" s="5" t="inlineStr">
        <is>
          <t>실사 외화</t>
        </is>
      </c>
      <c r="F69" s="5" t="inlineStr">
        <is>
          <t>종영</t>
        </is>
      </c>
      <c r="G69" s="7" t="n">
        <v>11795</v>
      </c>
      <c r="H69" s="7" t="n">
        <v>35254</v>
      </c>
      <c r="I69" s="7" t="n">
        <v>107</v>
      </c>
      <c r="J69" s="7" t="n">
        <v>2460</v>
      </c>
      <c r="K69" s="8">
        <f>IFERROR(G69/H69,"")</f>
        <v/>
      </c>
      <c r="L69" s="13">
        <f>IFERROR(J69/H69,"")</f>
        <v/>
      </c>
      <c r="M69" s="7" t="n">
        <v>106</v>
      </c>
      <c r="N69" s="19" t="n">
        <v>37.8</v>
      </c>
      <c r="O69" s="19" t="n">
        <v>211</v>
      </c>
      <c r="P69" s="7" t="n">
        <v>6</v>
      </c>
      <c r="Q69" s="5" t="inlineStr">
        <is>
          <t>2023-10-09</t>
        </is>
      </c>
      <c r="R69" s="5" t="inlineStr">
        <is>
          <t>2023-11-19</t>
        </is>
      </c>
      <c r="S69" s="5" t="inlineStr">
        <is>
          <t>판타지,멜로/로맨스</t>
        </is>
      </c>
      <c r="T69" s="5" t="inlineStr">
        <is>
          <t>일본</t>
        </is>
      </c>
      <c r="U69" s="5" t="inlineStr">
        <is>
          <t>(주)디스테이션</t>
        </is>
      </c>
    </row>
    <row r="70">
      <c r="A70" s="5" t="inlineStr">
        <is>
          <t>언젠틀 오퍼레이션</t>
        </is>
      </c>
      <c r="B70" s="5" t="inlineStr">
        <is>
          <t>2025-03-19</t>
        </is>
      </c>
      <c r="C70" s="5" t="inlineStr">
        <is>
          <t>2025-03-19</t>
        </is>
      </c>
      <c r="D70" s="5" t="inlineStr">
        <is>
          <t>신작</t>
        </is>
      </c>
      <c r="E70" s="5" t="inlineStr">
        <is>
          <t>실사 외화</t>
        </is>
      </c>
      <c r="F70" s="5" t="inlineStr">
        <is>
          <t>종영</t>
        </is>
      </c>
      <c r="G70" s="7" t="n">
        <v>10987</v>
      </c>
      <c r="H70" s="7" t="n">
        <v>35148</v>
      </c>
      <c r="I70" s="7" t="n">
        <v>134</v>
      </c>
      <c r="J70" s="7" t="n">
        <v>1606</v>
      </c>
      <c r="K70" s="8">
        <f>IFERROR(G70/H70,"")</f>
        <v/>
      </c>
      <c r="L70" s="13">
        <f>IFERROR(J70/H70,"")</f>
        <v/>
      </c>
      <c r="M70" s="7" t="n">
        <v>133</v>
      </c>
      <c r="N70" s="19" t="n">
        <v>47.1</v>
      </c>
      <c r="O70" s="19" t="n">
        <v>184</v>
      </c>
      <c r="P70" s="7" t="n">
        <v>6</v>
      </c>
      <c r="Q70" s="5" t="inlineStr">
        <is>
          <t>2025-03-10</t>
        </is>
      </c>
      <c r="R70" s="5" t="inlineStr">
        <is>
          <t>2025-04-20</t>
        </is>
      </c>
      <c r="S70" s="5" t="inlineStr">
        <is>
          <t>액션,코미디</t>
        </is>
      </c>
      <c r="T70" s="5" t="inlineStr">
        <is>
          <t>영국</t>
        </is>
      </c>
      <c r="U70" s="5" t="inlineStr">
        <is>
          <t>메가박스중앙(주)</t>
        </is>
      </c>
    </row>
    <row r="71">
      <c r="A71" s="5" t="inlineStr">
        <is>
          <t>영화 러브 라이브! 니지가사키 학원 스쿨 아이돌 동호회 완결편 제1장</t>
        </is>
      </c>
      <c r="B71" s="5" t="inlineStr">
        <is>
          <t>2025-02-06</t>
        </is>
      </c>
      <c r="C71" s="5" t="inlineStr">
        <is>
          <t>2025-02-06</t>
        </is>
      </c>
      <c r="D71" s="5" t="inlineStr">
        <is>
          <t>신작</t>
        </is>
      </c>
      <c r="E71" s="5" t="inlineStr">
        <is>
          <t>애니메이션</t>
        </is>
      </c>
      <c r="F71" s="5" t="inlineStr">
        <is>
          <t>종영</t>
        </is>
      </c>
      <c r="G71" s="7" t="n">
        <v>10914</v>
      </c>
      <c r="H71" s="7" t="n">
        <v>26756</v>
      </c>
      <c r="I71" s="7" t="n">
        <v>110</v>
      </c>
      <c r="J71" s="7" t="n">
        <v>1620</v>
      </c>
      <c r="K71" s="8">
        <f>IFERROR(G71/H71,"")</f>
        <v/>
      </c>
      <c r="L71" s="13">
        <f>IFERROR(J71/H71,"")</f>
        <v/>
      </c>
      <c r="M71" s="7" t="n">
        <v>110</v>
      </c>
      <c r="N71" s="19" t="n">
        <v>26</v>
      </c>
      <c r="O71" s="19" t="n">
        <v>160</v>
      </c>
      <c r="P71" s="7" t="n">
        <v>11</v>
      </c>
      <c r="Q71" s="5" t="inlineStr">
        <is>
          <t>2025-02-03</t>
        </is>
      </c>
      <c r="R71" s="5" t="inlineStr">
        <is>
          <t>2025-04-20</t>
        </is>
      </c>
      <c r="S71" s="5" t="inlineStr">
        <is>
          <t>애니메이션</t>
        </is>
      </c>
      <c r="T71" s="5" t="inlineStr">
        <is>
          <t>일본</t>
        </is>
      </c>
      <c r="U71" s="5" t="inlineStr">
        <is>
          <t>(주)애니플러스</t>
        </is>
      </c>
    </row>
    <row r="72">
      <c r="A72" s="5" t="inlineStr">
        <is>
          <t>택시 드라이버</t>
        </is>
      </c>
      <c r="B72" s="5" t="inlineStr">
        <is>
          <t>2025-04-09</t>
        </is>
      </c>
      <c r="C72" s="5" t="inlineStr">
        <is>
          <t>1989-02-17</t>
        </is>
      </c>
      <c r="D72" s="5" t="inlineStr">
        <is>
          <t>재개봉/구작</t>
        </is>
      </c>
      <c r="E72" s="5" t="inlineStr">
        <is>
          <t>실사 외화</t>
        </is>
      </c>
      <c r="F72" s="5" t="inlineStr">
        <is>
          <t>종영</t>
        </is>
      </c>
      <c r="G72" s="7" t="n">
        <v>10856</v>
      </c>
      <c r="H72" s="7" t="n">
        <v>20556</v>
      </c>
      <c r="I72" s="7" t="n">
        <v>82</v>
      </c>
      <c r="J72" s="7" t="n">
        <v>2006</v>
      </c>
      <c r="K72" s="8">
        <f>IFERROR(G72/H72,"")</f>
        <v/>
      </c>
      <c r="L72" s="13">
        <f>IFERROR(J72/H72,"")</f>
        <v/>
      </c>
      <c r="M72" s="7" t="n">
        <v>83</v>
      </c>
      <c r="N72" s="19" t="n">
        <v>61.7</v>
      </c>
      <c r="O72" s="19" t="n">
        <v>164</v>
      </c>
      <c r="P72" s="7" t="n">
        <v>4</v>
      </c>
      <c r="Q72" s="5" t="inlineStr">
        <is>
          <t>2025-04-07</t>
        </is>
      </c>
      <c r="R72" s="5" t="inlineStr">
        <is>
          <t>2025-05-04</t>
        </is>
      </c>
      <c r="S72" s="5" t="inlineStr">
        <is>
          <t>드라마,스릴러</t>
        </is>
      </c>
      <c r="T72" s="5" t="inlineStr">
        <is>
          <t>미국</t>
        </is>
      </c>
      <c r="U72" s="5" t="inlineStr"/>
    </row>
    <row r="73">
      <c r="A73" s="5" t="inlineStr">
        <is>
          <t>몽키맨</t>
        </is>
      </c>
      <c r="B73" s="5" t="inlineStr">
        <is>
          <t>2024-06-19</t>
        </is>
      </c>
      <c r="C73" s="5" t="inlineStr">
        <is>
          <t>2024-06-19</t>
        </is>
      </c>
      <c r="D73" s="5" t="inlineStr">
        <is>
          <t>신작</t>
        </is>
      </c>
      <c r="E73" s="5" t="inlineStr">
        <is>
          <t>실사 외화</t>
        </is>
      </c>
      <c r="F73" s="5" t="inlineStr">
        <is>
          <t>종영</t>
        </is>
      </c>
      <c r="G73" s="7" t="n">
        <v>10490</v>
      </c>
      <c r="H73" s="7" t="n">
        <v>35002</v>
      </c>
      <c r="I73" s="7" t="n">
        <v>146</v>
      </c>
      <c r="J73" s="7" t="n">
        <v>1196</v>
      </c>
      <c r="K73" s="8">
        <f>IFERROR(G73/H73,"")</f>
        <v/>
      </c>
      <c r="L73" s="13">
        <f>IFERROR(J73/H73,"")</f>
        <v/>
      </c>
      <c r="M73" s="7" t="n">
        <v>75</v>
      </c>
      <c r="N73" s="19" t="n">
        <v>34.6</v>
      </c>
      <c r="O73" s="19" t="n">
        <v>186</v>
      </c>
      <c r="P73" s="7" t="n">
        <v>5</v>
      </c>
      <c r="Q73" s="5" t="inlineStr">
        <is>
          <t>2024-06-10</t>
        </is>
      </c>
      <c r="R73" s="5" t="inlineStr">
        <is>
          <t>2024-07-14</t>
        </is>
      </c>
      <c r="S73" s="5" t="inlineStr">
        <is>
          <t>액션,스릴러</t>
        </is>
      </c>
      <c r="T73" s="5" t="inlineStr">
        <is>
          <t>미국</t>
        </is>
      </c>
      <c r="U73" s="5" t="inlineStr">
        <is>
          <t>유니버설픽쳐스인터내셔널 코리아(유)</t>
        </is>
      </c>
    </row>
    <row r="74">
      <c r="A74" s="5" t="inlineStr">
        <is>
          <t>에드워드 호퍼</t>
        </is>
      </c>
      <c r="B74" s="5" t="inlineStr">
        <is>
          <t>2024-11-27</t>
        </is>
      </c>
      <c r="C74" s="5" t="inlineStr">
        <is>
          <t>2024-11-27</t>
        </is>
      </c>
      <c r="D74" s="5" t="inlineStr">
        <is>
          <t>신작</t>
        </is>
      </c>
      <c r="E74" s="5" t="inlineStr">
        <is>
          <t>실사 외화</t>
        </is>
      </c>
      <c r="F74" s="5" t="inlineStr">
        <is>
          <t>종영</t>
        </is>
      </c>
      <c r="G74" s="7" t="n">
        <v>10471</v>
      </c>
      <c r="H74" s="7" t="n">
        <v>15473</v>
      </c>
      <c r="I74" s="7" t="n">
        <v>111</v>
      </c>
      <c r="J74" s="7" t="n">
        <v>1422</v>
      </c>
      <c r="K74" s="8">
        <f>IFERROR(G74/H74,"")</f>
        <v/>
      </c>
      <c r="L74" s="13">
        <f>IFERROR(J74/H74,"")</f>
        <v/>
      </c>
      <c r="M74" s="7" t="n">
        <v>77</v>
      </c>
      <c r="N74" s="19" t="n">
        <v>30.8</v>
      </c>
      <c r="O74" s="19" t="n">
        <v>125</v>
      </c>
      <c r="P74" s="7" t="n">
        <v>5</v>
      </c>
      <c r="Q74" s="5" t="inlineStr">
        <is>
          <t>2024-11-25</t>
        </is>
      </c>
      <c r="R74" s="5" t="inlineStr">
        <is>
          <t>2024-12-29</t>
        </is>
      </c>
      <c r="S74" s="5" t="inlineStr">
        <is>
          <t>다큐멘터리</t>
        </is>
      </c>
      <c r="T74" s="5" t="inlineStr">
        <is>
          <t>영국</t>
        </is>
      </c>
      <c r="U74" s="5" t="inlineStr">
        <is>
          <t>영화사빅</t>
        </is>
      </c>
    </row>
    <row r="75">
      <c r="A75" s="5" t="inlineStr">
        <is>
          <t>대결! 애니메이션</t>
        </is>
      </c>
      <c r="B75" s="5" t="inlineStr">
        <is>
          <t>2024-03-06</t>
        </is>
      </c>
      <c r="C75" s="5" t="inlineStr">
        <is>
          <t>2024-03-06</t>
        </is>
      </c>
      <c r="D75" s="5" t="inlineStr">
        <is>
          <t>신작</t>
        </is>
      </c>
      <c r="E75" s="5" t="inlineStr">
        <is>
          <t>실사 외화</t>
        </is>
      </c>
      <c r="F75" s="5" t="inlineStr">
        <is>
          <t>종영</t>
        </is>
      </c>
      <c r="G75" s="7" t="n">
        <v>10118</v>
      </c>
      <c r="H75" s="7" t="n">
        <v>21316</v>
      </c>
      <c r="I75" s="7" t="n">
        <v>103</v>
      </c>
      <c r="J75" s="7" t="n">
        <v>2122</v>
      </c>
      <c r="K75" s="8">
        <f>IFERROR(G75/H75,"")</f>
        <v/>
      </c>
      <c r="L75" s="13">
        <f>IFERROR(J75/H75,"")</f>
        <v/>
      </c>
      <c r="M75" s="7" t="n">
        <v>102</v>
      </c>
      <c r="N75" s="19" t="n">
        <v>25.8</v>
      </c>
      <c r="O75" s="19" t="n">
        <v>157</v>
      </c>
      <c r="P75" s="7" t="n">
        <v>9</v>
      </c>
      <c r="Q75" s="5" t="inlineStr">
        <is>
          <t>2024-02-19</t>
        </is>
      </c>
      <c r="R75" s="5" t="inlineStr">
        <is>
          <t>2024-04-21</t>
        </is>
      </c>
      <c r="S75" s="5" t="inlineStr">
        <is>
          <t>드라마</t>
        </is>
      </c>
      <c r="T75" s="5" t="inlineStr">
        <is>
          <t>일본</t>
        </is>
      </c>
      <c r="U75" s="5" t="inlineStr">
        <is>
          <t>(주)빌리언스플러스,(주)블루라벨픽쳐스</t>
        </is>
      </c>
    </row>
    <row r="76">
      <c r="A76" s="5" t="inlineStr">
        <is>
          <t>금지된 장난</t>
        </is>
      </c>
      <c r="B76" s="5" t="inlineStr">
        <is>
          <t>2024-06-05</t>
        </is>
      </c>
      <c r="C76" s="5" t="inlineStr">
        <is>
          <t>2024-06-05</t>
        </is>
      </c>
      <c r="D76" s="5" t="inlineStr">
        <is>
          <t>신작</t>
        </is>
      </c>
      <c r="E76" s="5" t="inlineStr">
        <is>
          <t>실사 외화</t>
        </is>
      </c>
      <c r="F76" s="5" t="inlineStr">
        <is>
          <t>종영</t>
        </is>
      </c>
      <c r="G76" s="7" t="n">
        <v>10064</v>
      </c>
      <c r="H76" s="7" t="n">
        <v>26902</v>
      </c>
      <c r="I76" s="7" t="n">
        <v>118</v>
      </c>
      <c r="J76" s="7" t="n">
        <v>2228</v>
      </c>
      <c r="K76" s="8">
        <f>IFERROR(G76/H76,"")</f>
        <v/>
      </c>
      <c r="L76" s="13">
        <f>IFERROR(J76/H76,"")</f>
        <v/>
      </c>
      <c r="M76" s="7" t="n">
        <v>74</v>
      </c>
      <c r="N76" s="19" t="n">
        <v>42.5</v>
      </c>
      <c r="O76" s="19" t="n">
        <v>172</v>
      </c>
      <c r="P76" s="7" t="n">
        <v>4</v>
      </c>
      <c r="Q76" s="5" t="inlineStr">
        <is>
          <t>2024-06-03</t>
        </is>
      </c>
      <c r="R76" s="5" t="inlineStr">
        <is>
          <t>2024-06-30</t>
        </is>
      </c>
      <c r="S76" s="5" t="inlineStr">
        <is>
          <t>공포(호러)</t>
        </is>
      </c>
      <c r="T76" s="5" t="inlineStr">
        <is>
          <t>일본</t>
        </is>
      </c>
      <c r="U76" s="5" t="inlineStr">
        <is>
          <t>와이드 릴리즈(주)</t>
        </is>
      </c>
    </row>
    <row r="77">
      <c r="A77" s="5" t="inlineStr">
        <is>
          <t>레옹</t>
        </is>
      </c>
      <c r="B77" s="5" t="inlineStr">
        <is>
          <t>2024-04-22</t>
        </is>
      </c>
      <c r="C77" s="5" t="inlineStr">
        <is>
          <t>1995-02-18</t>
        </is>
      </c>
      <c r="D77" s="5" t="inlineStr">
        <is>
          <t>재개봉/구작</t>
        </is>
      </c>
      <c r="E77" s="5" t="inlineStr">
        <is>
          <t>실사 외화</t>
        </is>
      </c>
      <c r="F77" s="5" t="inlineStr">
        <is>
          <t>종영</t>
        </is>
      </c>
      <c r="G77" s="7" t="n">
        <v>10030</v>
      </c>
      <c r="H77" s="7" t="n">
        <v>18828</v>
      </c>
      <c r="I77" s="7" t="n">
        <v>94</v>
      </c>
      <c r="J77" s="7" t="n">
        <v>1129</v>
      </c>
      <c r="K77" s="8">
        <f>IFERROR(G77/H77,"")</f>
        <v/>
      </c>
      <c r="L77" s="13">
        <f>IFERROR(J77/H77,"")</f>
        <v/>
      </c>
      <c r="M77" s="7" t="n">
        <v>88</v>
      </c>
      <c r="N77" s="19" t="n">
        <v>20.9</v>
      </c>
      <c r="O77" s="19" t="n">
        <v>140</v>
      </c>
      <c r="P77" s="7" t="n">
        <v>5</v>
      </c>
      <c r="Q77" s="5" t="inlineStr">
        <is>
          <t>2024-04-22</t>
        </is>
      </c>
      <c r="R77" s="5" t="inlineStr">
        <is>
          <t>2024-05-26</t>
        </is>
      </c>
      <c r="S77" s="5" t="inlineStr">
        <is>
          <t>액션,범죄</t>
        </is>
      </c>
      <c r="T77" s="5" t="inlineStr">
        <is>
          <t>프랑스</t>
        </is>
      </c>
      <c r="U77" s="5" t="inlineStr">
        <is>
          <t>와이드 릴리즈(주),(주)제이앤씨미디어그룹,(주)팝파트너스</t>
        </is>
      </c>
    </row>
    <row r="78">
      <c r="A78" s="5" t="inlineStr">
        <is>
          <t>좀비 랜드 사가: 유메긴가 파라다이스</t>
        </is>
      </c>
      <c r="B78" s="5" t="inlineStr">
        <is>
          <t>2026-03-04</t>
        </is>
      </c>
      <c r="C78" s="5" t="inlineStr">
        <is>
          <t>2026-03-04</t>
        </is>
      </c>
      <c r="D78" s="5" t="inlineStr">
        <is>
          <t>신작</t>
        </is>
      </c>
      <c r="E78" s="5" t="inlineStr">
        <is>
          <t>애니메이션</t>
        </is>
      </c>
      <c r="F78" s="5" t="inlineStr">
        <is>
          <t>종영</t>
        </is>
      </c>
      <c r="G78" s="7" t="n">
        <v>9851</v>
      </c>
      <c r="H78" s="7" t="n">
        <v>15447</v>
      </c>
      <c r="I78" s="7" t="n">
        <v>104</v>
      </c>
      <c r="J78" s="7" t="n">
        <v>804</v>
      </c>
      <c r="K78" s="8">
        <f>IFERROR(G78/H78,"")</f>
        <v/>
      </c>
      <c r="L78" s="13">
        <f>IFERROR(J78/H78,"")</f>
        <v/>
      </c>
      <c r="M78" s="7" t="n">
        <v>100</v>
      </c>
      <c r="N78" s="19" t="n">
        <v>25.4</v>
      </c>
      <c r="O78" s="19" t="n">
        <v>118</v>
      </c>
      <c r="P78" s="7" t="n">
        <v>11</v>
      </c>
      <c r="Q78" s="5" t="inlineStr">
        <is>
          <t>2026-03-02</t>
        </is>
      </c>
      <c r="R78" s="5" t="inlineStr">
        <is>
          <t>2026-05-17</t>
        </is>
      </c>
      <c r="S78" s="5" t="inlineStr">
        <is>
          <t>애니메이션</t>
        </is>
      </c>
      <c r="T78" s="5" t="inlineStr">
        <is>
          <t>일본</t>
        </is>
      </c>
      <c r="U78" s="5" t="inlineStr">
        <is>
          <t>메가박스중앙(주)</t>
        </is>
      </c>
    </row>
    <row r="79">
      <c r="A79" s="5" t="inlineStr">
        <is>
          <t>그랜드 부다페스트 호텔</t>
        </is>
      </c>
      <c r="B79" s="5" t="inlineStr">
        <is>
          <t>2026-04-08</t>
        </is>
      </c>
      <c r="C79" s="5" t="inlineStr">
        <is>
          <t>2014-03-20</t>
        </is>
      </c>
      <c r="D79" s="5" t="inlineStr">
        <is>
          <t>재개봉/구작</t>
        </is>
      </c>
      <c r="E79" s="5" t="inlineStr">
        <is>
          <t>실사 외화</t>
        </is>
      </c>
      <c r="F79" s="5" t="inlineStr">
        <is>
          <t>종영</t>
        </is>
      </c>
      <c r="G79" s="7" t="n">
        <v>9624</v>
      </c>
      <c r="H79" s="7" t="n">
        <v>20307</v>
      </c>
      <c r="I79" s="7" t="n">
        <v>81</v>
      </c>
      <c r="J79" s="7" t="n">
        <v>3077</v>
      </c>
      <c r="K79" s="8">
        <f>IFERROR(G79/H79,"")</f>
        <v/>
      </c>
      <c r="L79" s="13">
        <f>IFERROR(J79/H79,"")</f>
        <v/>
      </c>
      <c r="M79" s="7" t="n">
        <v>81</v>
      </c>
      <c r="N79" s="19" t="n">
        <v>23.8</v>
      </c>
      <c r="O79" s="19" t="n">
        <v>190</v>
      </c>
      <c r="P79" s="7" t="n">
        <v>5</v>
      </c>
      <c r="Q79" s="5" t="inlineStr">
        <is>
          <t>2026-04-06</t>
        </is>
      </c>
      <c r="R79" s="5" t="inlineStr">
        <is>
          <t>2026-05-10</t>
        </is>
      </c>
      <c r="S79" s="5" t="inlineStr">
        <is>
          <t>미스터리,어드벤처</t>
        </is>
      </c>
      <c r="T79" s="5" t="inlineStr">
        <is>
          <t>미국</t>
        </is>
      </c>
      <c r="U79" s="5" t="inlineStr">
        <is>
          <t>(주)피터팬픽쳐스,이십세기폭스코리아(주),월트디즈니컴퍼니코리아 유한책임회사</t>
        </is>
      </c>
    </row>
    <row r="80">
      <c r="A80" s="5" t="inlineStr">
        <is>
          <t>라이프 오브 파이</t>
        </is>
      </c>
      <c r="B80" s="5" t="inlineStr">
        <is>
          <t>2026-03-25</t>
        </is>
      </c>
      <c r="C80" s="5" t="inlineStr">
        <is>
          <t>2013-01-01</t>
        </is>
      </c>
      <c r="D80" s="5" t="inlineStr">
        <is>
          <t>재개봉/구작</t>
        </is>
      </c>
      <c r="E80" s="5" t="inlineStr">
        <is>
          <t>실사 외화</t>
        </is>
      </c>
      <c r="F80" s="5" t="inlineStr">
        <is>
          <t>종영</t>
        </is>
      </c>
      <c r="G80" s="7" t="n">
        <v>9540</v>
      </c>
      <c r="H80" s="7" t="n">
        <v>16920</v>
      </c>
      <c r="I80" s="7" t="n">
        <v>58</v>
      </c>
      <c r="J80" s="7" t="n">
        <v>3065</v>
      </c>
      <c r="K80" s="8">
        <f>IFERROR(G80/H80,"")</f>
        <v/>
      </c>
      <c r="L80" s="13">
        <f>IFERROR(J80/H80,"")</f>
        <v/>
      </c>
      <c r="M80" s="7" t="n">
        <v>58</v>
      </c>
      <c r="N80" s="19" t="n">
        <v>26</v>
      </c>
      <c r="O80" s="19" t="n">
        <v>214</v>
      </c>
      <c r="P80" s="7" t="n">
        <v>4</v>
      </c>
      <c r="Q80" s="5" t="inlineStr">
        <is>
          <t>2026-03-23</t>
        </is>
      </c>
      <c r="R80" s="5" t="inlineStr">
        <is>
          <t>2026-04-19</t>
        </is>
      </c>
      <c r="S80" s="5" t="inlineStr">
        <is>
          <t>어드벤처,드라마</t>
        </is>
      </c>
      <c r="T80" s="5" t="inlineStr">
        <is>
          <t>미국</t>
        </is>
      </c>
      <c r="U80" s="5" t="inlineStr">
        <is>
          <t>월트디즈니컴퍼니코리아 유한책임회사,주식회사 해리슨앤컴퍼니,이십세기폭스코리아(주)</t>
        </is>
      </c>
    </row>
    <row r="81">
      <c r="A81" s="5" t="inlineStr">
        <is>
          <t>극장판 다이노맨: 공룡산의 비밀</t>
        </is>
      </c>
      <c r="B81" s="5" t="inlineStr">
        <is>
          <t>2025-07-25</t>
        </is>
      </c>
      <c r="C81" s="5" t="inlineStr">
        <is>
          <t>2025-07-25</t>
        </is>
      </c>
      <c r="D81" s="5" t="inlineStr">
        <is>
          <t>신작</t>
        </is>
      </c>
      <c r="E81" s="5" t="inlineStr">
        <is>
          <t>애니메이션</t>
        </is>
      </c>
      <c r="F81" s="5" t="inlineStr">
        <is>
          <t>종영</t>
        </is>
      </c>
      <c r="G81" s="7" t="n">
        <v>9288</v>
      </c>
      <c r="H81" s="7" t="n">
        <v>8031</v>
      </c>
      <c r="I81" s="7" t="n">
        <v>64</v>
      </c>
      <c r="J81" s="7" t="n">
        <v>875</v>
      </c>
      <c r="K81" s="8">
        <f>IFERROR(G81/H81,"")</f>
        <v/>
      </c>
      <c r="L81" s="13">
        <f>IFERROR(J81/H81,"")</f>
        <v/>
      </c>
      <c r="M81" s="7" t="n">
        <v>81</v>
      </c>
      <c r="N81" s="19" t="n">
        <v>13.6</v>
      </c>
      <c r="O81" s="19" t="n">
        <v>113</v>
      </c>
      <c r="P81" s="7" t="n">
        <v>11</v>
      </c>
      <c r="Q81" s="5" t="inlineStr">
        <is>
          <t>2025-07-07</t>
        </is>
      </c>
      <c r="R81" s="5" t="inlineStr">
        <is>
          <t>2025-09-21</t>
        </is>
      </c>
      <c r="S81" s="5" t="inlineStr">
        <is>
          <t>애니메이션</t>
        </is>
      </c>
      <c r="T81" s="5" t="inlineStr">
        <is>
          <t>한국</t>
        </is>
      </c>
      <c r="U81" s="5" t="inlineStr">
        <is>
          <t>(주)엠디에스스피어</t>
        </is>
      </c>
    </row>
    <row r="82">
      <c r="A82" s="5" t="inlineStr">
        <is>
          <t>366일</t>
        </is>
      </c>
      <c r="B82" s="5" t="inlineStr">
        <is>
          <t>2025-06-11</t>
        </is>
      </c>
      <c r="C82" s="5" t="inlineStr"/>
      <c r="D82" s="5" t="inlineStr">
        <is>
          <t>재개봉/구작</t>
        </is>
      </c>
      <c r="E82" s="5" t="inlineStr">
        <is>
          <t>실사 외화</t>
        </is>
      </c>
      <c r="F82" s="5" t="inlineStr">
        <is>
          <t>종영</t>
        </is>
      </c>
      <c r="G82" s="7" t="n">
        <v>9120</v>
      </c>
      <c r="H82" s="7" t="n">
        <v>25550</v>
      </c>
      <c r="I82" s="7" t="n">
        <v>134</v>
      </c>
      <c r="J82" s="7" t="n">
        <v>1138</v>
      </c>
      <c r="K82" s="8">
        <f>IFERROR(G82/H82,"")</f>
        <v/>
      </c>
      <c r="L82" s="13">
        <f>IFERROR(J82/H82,"")</f>
        <v/>
      </c>
      <c r="M82" s="7" t="n">
        <v>133</v>
      </c>
      <c r="N82" s="19" t="n">
        <v>43.9</v>
      </c>
      <c r="O82" s="19" t="n">
        <v>151</v>
      </c>
      <c r="P82" s="7" t="n">
        <v>5</v>
      </c>
      <c r="Q82" s="5" t="inlineStr">
        <is>
          <t>2025-06-09</t>
        </is>
      </c>
      <c r="R82" s="5" t="inlineStr">
        <is>
          <t>2025-07-13</t>
        </is>
      </c>
      <c r="S82" s="5" t="inlineStr">
        <is>
          <t>멜로/로맨스</t>
        </is>
      </c>
      <c r="T82" s="5" t="inlineStr">
        <is>
          <t>몽고</t>
        </is>
      </c>
      <c r="U82" s="5" t="inlineStr"/>
    </row>
    <row r="83">
      <c r="A83" s="5" t="inlineStr">
        <is>
          <t>자우림, 더 원더랜드</t>
        </is>
      </c>
      <c r="B83" s="5" t="inlineStr">
        <is>
          <t>2023-06-07</t>
        </is>
      </c>
      <c r="C83" s="5" t="inlineStr">
        <is>
          <t>2023-06-07</t>
        </is>
      </c>
      <c r="D83" s="5" t="inlineStr">
        <is>
          <t>신작</t>
        </is>
      </c>
      <c r="E83" s="5" t="inlineStr">
        <is>
          <t>실사 한국</t>
        </is>
      </c>
      <c r="F83" s="5" t="inlineStr">
        <is>
          <t>종영</t>
        </is>
      </c>
      <c r="G83" s="7" t="n">
        <v>8951</v>
      </c>
      <c r="H83" s="7" t="n">
        <v>16218</v>
      </c>
      <c r="I83" s="7" t="n">
        <v>84</v>
      </c>
      <c r="J83" s="7" t="n">
        <v>682</v>
      </c>
      <c r="K83" s="8">
        <f>IFERROR(G83/H83,"")</f>
        <v/>
      </c>
      <c r="L83" s="13">
        <f>IFERROR(J83/H83,"")</f>
        <v/>
      </c>
      <c r="M83" s="7" t="n">
        <v>89</v>
      </c>
      <c r="N83" s="19" t="n">
        <v>20.7</v>
      </c>
      <c r="O83" s="19" t="n">
        <v>148</v>
      </c>
      <c r="P83" s="7" t="n">
        <v>8</v>
      </c>
      <c r="Q83" s="5" t="inlineStr">
        <is>
          <t>2023-05-29</t>
        </is>
      </c>
      <c r="R83" s="5" t="inlineStr">
        <is>
          <t>2023-07-23</t>
        </is>
      </c>
      <c r="S83" s="5" t="inlineStr">
        <is>
          <t>다큐멘터리</t>
        </is>
      </c>
      <c r="T83" s="5" t="inlineStr">
        <is>
          <t>한국</t>
        </is>
      </c>
      <c r="U83" s="5" t="inlineStr">
        <is>
          <t>메가박스중앙(주),써티세븐스디그리(주)</t>
        </is>
      </c>
    </row>
    <row r="84">
      <c r="A84" s="5" t="inlineStr">
        <is>
          <t>영화 러브 라이브! 니지가사키 학원 스쿨 아이돌 동호회 완결편 제2장</t>
        </is>
      </c>
      <c r="B84" s="5" t="inlineStr">
        <is>
          <t>2026-02-18</t>
        </is>
      </c>
      <c r="C84" s="5" t="inlineStr">
        <is>
          <t>2026-02-18</t>
        </is>
      </c>
      <c r="D84" s="5" t="inlineStr">
        <is>
          <t>신작</t>
        </is>
      </c>
      <c r="E84" s="5" t="inlineStr">
        <is>
          <t>애니메이션</t>
        </is>
      </c>
      <c r="F84" s="5" t="inlineStr">
        <is>
          <t>종영</t>
        </is>
      </c>
      <c r="G84" s="7" t="n">
        <v>8913</v>
      </c>
      <c r="H84" s="7" t="n">
        <v>14883</v>
      </c>
      <c r="I84" s="7" t="n">
        <v>107</v>
      </c>
      <c r="J84" s="7" t="n">
        <v>2220</v>
      </c>
      <c r="K84" s="8">
        <f>IFERROR(G84/H84,"")</f>
        <v/>
      </c>
      <c r="L84" s="13">
        <f>IFERROR(J84/H84,"")</f>
        <v/>
      </c>
      <c r="M84" s="7" t="n">
        <v>106</v>
      </c>
      <c r="N84" s="19" t="n">
        <v>19.9</v>
      </c>
      <c r="O84" s="19" t="n">
        <v>132</v>
      </c>
      <c r="P84" s="7" t="n">
        <v>9</v>
      </c>
      <c r="Q84" s="5" t="inlineStr">
        <is>
          <t>2026-02-16</t>
        </is>
      </c>
      <c r="R84" s="5" t="inlineStr">
        <is>
          <t>2026-04-19</t>
        </is>
      </c>
      <c r="S84" s="5" t="inlineStr">
        <is>
          <t>애니메이션</t>
        </is>
      </c>
      <c r="T84" s="5" t="inlineStr">
        <is>
          <t>일본</t>
        </is>
      </c>
      <c r="U84" s="5" t="inlineStr">
        <is>
          <t>(주)애니플러스</t>
        </is>
      </c>
    </row>
    <row r="85">
      <c r="A85" s="5" t="inlineStr">
        <is>
          <t>극장판 뱅드림! 잇츠 마이고!!!!! 후편: 노래하자, 우리가 될 수 있는 노래 &amp; 필름 라이브</t>
        </is>
      </c>
      <c r="B85" s="5" t="inlineStr">
        <is>
          <t>2025-06-19</t>
        </is>
      </c>
      <c r="C85" s="5" t="inlineStr">
        <is>
          <t>2025-06-19</t>
        </is>
      </c>
      <c r="D85" s="5" t="inlineStr">
        <is>
          <t>신작</t>
        </is>
      </c>
      <c r="E85" s="5" t="inlineStr">
        <is>
          <t>애니메이션</t>
        </is>
      </c>
      <c r="F85" s="5" t="inlineStr">
        <is>
          <t>종영</t>
        </is>
      </c>
      <c r="G85" s="7" t="n">
        <v>8870</v>
      </c>
      <c r="H85" s="7" t="n">
        <v>16334</v>
      </c>
      <c r="I85" s="7" t="n">
        <v>76</v>
      </c>
      <c r="J85" s="7" t="n">
        <v>3418</v>
      </c>
      <c r="K85" s="8">
        <f>IFERROR(G85/H85,"")</f>
        <v/>
      </c>
      <c r="L85" s="13">
        <f>IFERROR(J85/H85,"")</f>
        <v/>
      </c>
      <c r="M85" s="7" t="n">
        <v>76</v>
      </c>
      <c r="N85" s="19" t="n">
        <v>21.9</v>
      </c>
      <c r="O85" s="19" t="n">
        <v>148</v>
      </c>
      <c r="P85" s="7" t="n">
        <v>6</v>
      </c>
      <c r="Q85" s="5" t="inlineStr">
        <is>
          <t>2025-06-16</t>
        </is>
      </c>
      <c r="R85" s="5" t="inlineStr">
        <is>
          <t>2025-07-27</t>
        </is>
      </c>
      <c r="S85" s="5" t="inlineStr">
        <is>
          <t>애니메이션</t>
        </is>
      </c>
      <c r="T85" s="5" t="inlineStr">
        <is>
          <t>일본</t>
        </is>
      </c>
      <c r="U85" s="5" t="inlineStr">
        <is>
          <t>(주)애니플러스</t>
        </is>
      </c>
    </row>
    <row r="86">
      <c r="A86" s="5" t="inlineStr">
        <is>
          <t>코넬의 상자</t>
        </is>
      </c>
      <c r="B86" s="5" t="inlineStr">
        <is>
          <t>2025-01-08</t>
        </is>
      </c>
      <c r="C86" s="5" t="inlineStr">
        <is>
          <t>2025-01-08</t>
        </is>
      </c>
      <c r="D86" s="5" t="inlineStr">
        <is>
          <t>신작</t>
        </is>
      </c>
      <c r="E86" s="5" t="inlineStr">
        <is>
          <t>실사 한국</t>
        </is>
      </c>
      <c r="F86" s="5" t="inlineStr">
        <is>
          <t>종영</t>
        </is>
      </c>
      <c r="G86" s="7" t="n">
        <v>8421</v>
      </c>
      <c r="H86" s="7" t="n">
        <v>8793</v>
      </c>
      <c r="I86" s="7" t="n">
        <v>54</v>
      </c>
      <c r="J86" s="7" t="n">
        <v>843</v>
      </c>
      <c r="K86" s="8">
        <f>IFERROR(G86/H86,"")</f>
        <v/>
      </c>
      <c r="L86" s="13">
        <f>IFERROR(J86/H86,"")</f>
        <v/>
      </c>
      <c r="M86" s="7" t="n">
        <v>53</v>
      </c>
      <c r="N86" s="19" t="n">
        <v>43.3</v>
      </c>
      <c r="O86" s="19" t="n">
        <v>128</v>
      </c>
      <c r="P86" s="7" t="n">
        <v>3</v>
      </c>
      <c r="Q86" s="5" t="inlineStr">
        <is>
          <t>2025-01-06</t>
        </is>
      </c>
      <c r="R86" s="5" t="inlineStr">
        <is>
          <t>2025-01-26</t>
        </is>
      </c>
      <c r="S86" s="5" t="inlineStr">
        <is>
          <t>미스터리,스릴러</t>
        </is>
      </c>
      <c r="T86" s="5" t="inlineStr">
        <is>
          <t>한국</t>
        </is>
      </c>
      <c r="U86" s="5" t="inlineStr">
        <is>
          <t>와이드 릴리즈(주)</t>
        </is>
      </c>
    </row>
    <row r="87">
      <c r="A87" s="5" t="inlineStr">
        <is>
          <t>미야자키 하야오의 그대들은 어떻게 살 것인가</t>
        </is>
      </c>
      <c r="B87" s="5" t="inlineStr">
        <is>
          <t>2026-04-15</t>
        </is>
      </c>
      <c r="C87" s="5" t="inlineStr">
        <is>
          <t>2026-04-15</t>
        </is>
      </c>
      <c r="D87" s="5" t="inlineStr">
        <is>
          <t>신작</t>
        </is>
      </c>
      <c r="E87" s="5" t="inlineStr">
        <is>
          <t>실사 외화</t>
        </is>
      </c>
      <c r="F87" s="5" t="inlineStr">
        <is>
          <t>종영</t>
        </is>
      </c>
      <c r="G87" s="7" t="n">
        <v>8404</v>
      </c>
      <c r="H87" s="7" t="n">
        <v>12149</v>
      </c>
      <c r="I87" s="7" t="n">
        <v>72</v>
      </c>
      <c r="J87" s="7" t="n">
        <v>1414</v>
      </c>
      <c r="K87" s="8">
        <f>IFERROR(G87/H87,"")</f>
        <v/>
      </c>
      <c r="L87" s="13">
        <f>IFERROR(J87/H87,"")</f>
        <v/>
      </c>
      <c r="M87" s="7" t="n">
        <v>70</v>
      </c>
      <c r="N87" s="19" t="n">
        <v>19</v>
      </c>
      <c r="O87" s="19" t="n">
        <v>137</v>
      </c>
      <c r="P87" s="7" t="n">
        <v>9</v>
      </c>
      <c r="Q87" s="5" t="inlineStr">
        <is>
          <t>2026-03-30</t>
        </is>
      </c>
      <c r="R87" s="5" t="inlineStr">
        <is>
          <t>2026-05-31</t>
        </is>
      </c>
      <c r="S87" s="5" t="inlineStr">
        <is>
          <t>다큐멘터리</t>
        </is>
      </c>
      <c r="T87" s="5" t="inlineStr">
        <is>
          <t>일본</t>
        </is>
      </c>
      <c r="U87" s="5" t="inlineStr">
        <is>
          <t>(주)디스테이션</t>
        </is>
      </c>
    </row>
    <row r="88">
      <c r="A88" s="5" t="inlineStr">
        <is>
          <t>굿 보이</t>
        </is>
      </c>
      <c r="B88" s="5" t="inlineStr">
        <is>
          <t>2025-10-22</t>
        </is>
      </c>
      <c r="C88" s="5" t="inlineStr">
        <is>
          <t>2025-10-22</t>
        </is>
      </c>
      <c r="D88" s="5" t="inlineStr">
        <is>
          <t>신작</t>
        </is>
      </c>
      <c r="E88" s="5" t="inlineStr">
        <is>
          <t>실사 외화</t>
        </is>
      </c>
      <c r="F88" s="5" t="inlineStr">
        <is>
          <t>종영</t>
        </is>
      </c>
      <c r="G88" s="7" t="n">
        <v>8338</v>
      </c>
      <c r="H88" s="7" t="n">
        <v>23600</v>
      </c>
      <c r="I88" s="7" t="n">
        <v>140</v>
      </c>
      <c r="J88" s="7" t="n">
        <v>1402</v>
      </c>
      <c r="K88" s="8">
        <f>IFERROR(G88/H88,"")</f>
        <v/>
      </c>
      <c r="L88" s="13">
        <f>IFERROR(J88/H88,"")</f>
        <v/>
      </c>
      <c r="M88" s="7" t="n">
        <v>139</v>
      </c>
      <c r="N88" s="19" t="n">
        <v>47</v>
      </c>
      <c r="O88" s="19" t="n">
        <v>147</v>
      </c>
      <c r="P88" s="7" t="n">
        <v>5</v>
      </c>
      <c r="Q88" s="5" t="inlineStr">
        <is>
          <t>2025-10-20</t>
        </is>
      </c>
      <c r="R88" s="5" t="inlineStr">
        <is>
          <t>2025-11-23</t>
        </is>
      </c>
      <c r="S88" s="5" t="inlineStr">
        <is>
          <t>스릴러,공포(호러)</t>
        </is>
      </c>
      <c r="T88" s="5" t="inlineStr">
        <is>
          <t>미국</t>
        </is>
      </c>
      <c r="U88" s="5" t="inlineStr">
        <is>
          <t>찬란,주식회사 로아앤코홀딩스</t>
        </is>
      </c>
    </row>
    <row r="89">
      <c r="A89" s="5" t="inlineStr">
        <is>
          <t>우마무스메 프리티 더비 로드 투 더 탑</t>
        </is>
      </c>
      <c r="B89" s="5" t="inlineStr">
        <is>
          <t>2024-06-27</t>
        </is>
      </c>
      <c r="C89" s="5" t="inlineStr"/>
      <c r="D89" s="5" t="inlineStr">
        <is>
          <t>재개봉/구작</t>
        </is>
      </c>
      <c r="E89" s="5" t="inlineStr">
        <is>
          <t>애니메이션</t>
        </is>
      </c>
      <c r="F89" s="5" t="inlineStr">
        <is>
          <t>종영</t>
        </is>
      </c>
      <c r="G89" s="7" t="n">
        <v>8135</v>
      </c>
      <c r="H89" s="7" t="n">
        <v>13305</v>
      </c>
      <c r="I89" s="7" t="n">
        <v>64</v>
      </c>
      <c r="J89" s="7" t="n">
        <v>2741</v>
      </c>
      <c r="K89" s="8">
        <f>IFERROR(G89/H89,"")</f>
        <v/>
      </c>
      <c r="L89" s="13">
        <f>IFERROR(J89/H89,"")</f>
        <v/>
      </c>
      <c r="M89" s="7" t="n">
        <v>64</v>
      </c>
      <c r="N89" s="19" t="n">
        <v>44.2</v>
      </c>
      <c r="O89" s="19" t="n">
        <v>161</v>
      </c>
      <c r="P89" s="7" t="n">
        <v>3</v>
      </c>
      <c r="Q89" s="5" t="inlineStr">
        <is>
          <t>2024-06-24</t>
        </is>
      </c>
      <c r="R89" s="5" t="inlineStr">
        <is>
          <t>2024-07-14</t>
        </is>
      </c>
      <c r="S89" s="5" t="inlineStr">
        <is>
          <t>애니메이션</t>
        </is>
      </c>
      <c r="T89" s="5" t="inlineStr">
        <is>
          <t>일본</t>
        </is>
      </c>
      <c r="U89" s="5" t="inlineStr">
        <is>
          <t>(주)애니플러스</t>
        </is>
      </c>
    </row>
    <row r="90">
      <c r="A90" s="5" t="inlineStr">
        <is>
          <t>광장</t>
        </is>
      </c>
      <c r="B90" s="5" t="inlineStr">
        <is>
          <t>2026-01-15</t>
        </is>
      </c>
      <c r="C90" s="5" t="inlineStr">
        <is>
          <t>2026-01-15</t>
        </is>
      </c>
      <c r="D90" s="5" t="inlineStr">
        <is>
          <t>신작</t>
        </is>
      </c>
      <c r="E90" s="5" t="inlineStr">
        <is>
          <t>애니메이션</t>
        </is>
      </c>
      <c r="F90" s="5" t="inlineStr">
        <is>
          <t>종영</t>
        </is>
      </c>
      <c r="G90" s="7" t="n">
        <v>8107</v>
      </c>
      <c r="H90" s="7" t="n">
        <v>22388</v>
      </c>
      <c r="I90" s="7" t="n">
        <v>125</v>
      </c>
      <c r="J90" s="7" t="n">
        <v>1272</v>
      </c>
      <c r="K90" s="8">
        <f>IFERROR(G90/H90,"")</f>
        <v/>
      </c>
      <c r="L90" s="13">
        <f>IFERROR(J90/H90,"")</f>
        <v/>
      </c>
      <c r="M90" s="7" t="n">
        <v>70</v>
      </c>
      <c r="N90" s="19" t="n">
        <v>39</v>
      </c>
      <c r="O90" s="19" t="n">
        <v>134</v>
      </c>
      <c r="P90" s="7" t="n">
        <v>6</v>
      </c>
      <c r="Q90" s="5" t="inlineStr">
        <is>
          <t>2026-01-05</t>
        </is>
      </c>
      <c r="R90" s="5" t="inlineStr">
        <is>
          <t>2026-02-15</t>
        </is>
      </c>
      <c r="S90" s="5" t="inlineStr">
        <is>
          <t>애니메이션</t>
        </is>
      </c>
      <c r="T90" s="5" t="inlineStr">
        <is>
          <t>한국</t>
        </is>
      </c>
      <c r="U90" s="5" t="inlineStr">
        <is>
          <t>(주)스튜디오디에이치엘</t>
        </is>
      </c>
    </row>
    <row r="91">
      <c r="A91" s="5" t="inlineStr">
        <is>
          <t>극장판 뱅드림! 잇츠 마이고!!!!! 전편: 봄의 양지, 방황하는 고양이</t>
        </is>
      </c>
      <c r="B91" s="5" t="inlineStr">
        <is>
          <t>2025-04-24</t>
        </is>
      </c>
      <c r="C91" s="5" t="inlineStr">
        <is>
          <t>2025-04-24</t>
        </is>
      </c>
      <c r="D91" s="5" t="inlineStr">
        <is>
          <t>신작</t>
        </is>
      </c>
      <c r="E91" s="5" t="inlineStr">
        <is>
          <t>애니메이션</t>
        </is>
      </c>
      <c r="F91" s="5" t="inlineStr">
        <is>
          <t>종영</t>
        </is>
      </c>
      <c r="G91" s="7" t="n">
        <v>7898</v>
      </c>
      <c r="H91" s="7" t="n">
        <v>17986</v>
      </c>
      <c r="I91" s="7" t="n">
        <v>77</v>
      </c>
      <c r="J91" s="7" t="n">
        <v>1518</v>
      </c>
      <c r="K91" s="8">
        <f>IFERROR(G91/H91,"")</f>
        <v/>
      </c>
      <c r="L91" s="13">
        <f>IFERROR(J91/H91,"")</f>
        <v/>
      </c>
      <c r="M91" s="7" t="n">
        <v>77</v>
      </c>
      <c r="N91" s="19" t="n">
        <v>36.7</v>
      </c>
      <c r="O91" s="19" t="n">
        <v>162</v>
      </c>
      <c r="P91" s="7" t="n">
        <v>4</v>
      </c>
      <c r="Q91" s="5" t="inlineStr">
        <is>
          <t>2025-04-21</t>
        </is>
      </c>
      <c r="R91" s="5" t="inlineStr">
        <is>
          <t>2025-05-18</t>
        </is>
      </c>
      <c r="S91" s="5" t="inlineStr">
        <is>
          <t>애니메이션</t>
        </is>
      </c>
      <c r="T91" s="5" t="inlineStr">
        <is>
          <t>일본</t>
        </is>
      </c>
      <c r="U91" s="5" t="inlineStr">
        <is>
          <t>(주)애니플러스</t>
        </is>
      </c>
    </row>
    <row r="92">
      <c r="A92" s="5" t="inlineStr">
        <is>
          <t>마작</t>
        </is>
      </c>
      <c r="B92" s="5" t="inlineStr">
        <is>
          <t>2025-10-15</t>
        </is>
      </c>
      <c r="C92" s="5" t="inlineStr">
        <is>
          <t>2025-10-15</t>
        </is>
      </c>
      <c r="D92" s="5" t="inlineStr">
        <is>
          <t>신작</t>
        </is>
      </c>
      <c r="E92" s="5" t="inlineStr">
        <is>
          <t>실사 외화</t>
        </is>
      </c>
      <c r="F92" s="5" t="inlineStr">
        <is>
          <t>종영</t>
        </is>
      </c>
      <c r="G92" s="7" t="n">
        <v>7363</v>
      </c>
      <c r="H92" s="7" t="n">
        <v>18072</v>
      </c>
      <c r="I92" s="7" t="n">
        <v>108</v>
      </c>
      <c r="J92" s="7" t="n">
        <v>613</v>
      </c>
      <c r="K92" s="8">
        <f>IFERROR(G92/H92,"")</f>
        <v/>
      </c>
      <c r="L92" s="13">
        <f>IFERROR(J92/H92,"")</f>
        <v/>
      </c>
      <c r="M92" s="7" t="n">
        <v>95</v>
      </c>
      <c r="N92" s="19" t="n">
        <v>26.6</v>
      </c>
      <c r="O92" s="19" t="n">
        <v>126</v>
      </c>
      <c r="P92" s="7" t="n">
        <v>9</v>
      </c>
      <c r="Q92" s="5" t="inlineStr">
        <is>
          <t>2025-09-29</t>
        </is>
      </c>
      <c r="R92" s="5" t="inlineStr">
        <is>
          <t>2025-11-30</t>
        </is>
      </c>
      <c r="S92" s="5" t="inlineStr">
        <is>
          <t>드라마</t>
        </is>
      </c>
      <c r="T92" s="5" t="inlineStr">
        <is>
          <t>대만</t>
        </is>
      </c>
      <c r="U92" s="5" t="inlineStr">
        <is>
          <t>(주)디스테이션</t>
        </is>
      </c>
    </row>
    <row r="93">
      <c r="A93" s="5" t="inlineStr">
        <is>
          <t>뱀파이어 헌터 D</t>
        </is>
      </c>
      <c r="B93" s="5" t="inlineStr">
        <is>
          <t>2025-11-12</t>
        </is>
      </c>
      <c r="C93" s="5" t="inlineStr">
        <is>
          <t>2025-11-12</t>
        </is>
      </c>
      <c r="D93" s="5" t="inlineStr">
        <is>
          <t>신작</t>
        </is>
      </c>
      <c r="E93" s="5" t="inlineStr">
        <is>
          <t>애니메이션</t>
        </is>
      </c>
      <c r="F93" s="5" t="inlineStr">
        <is>
          <t>종영</t>
        </is>
      </c>
      <c r="G93" s="7" t="n">
        <v>7168</v>
      </c>
      <c r="H93" s="7" t="n">
        <v>9160</v>
      </c>
      <c r="I93" s="7" t="n">
        <v>54</v>
      </c>
      <c r="J93" s="7" t="n">
        <v>694</v>
      </c>
      <c r="K93" s="8">
        <f>IFERROR(G93/H93,"")</f>
        <v/>
      </c>
      <c r="L93" s="13">
        <f>IFERROR(J93/H93,"")</f>
        <v/>
      </c>
      <c r="M93" s="7" t="n">
        <v>54</v>
      </c>
      <c r="N93" s="19" t="n">
        <v>21.2</v>
      </c>
      <c r="O93" s="19" t="n">
        <v>138</v>
      </c>
      <c r="P93" s="7" t="n">
        <v>7</v>
      </c>
      <c r="Q93" s="5" t="inlineStr">
        <is>
          <t>2025-11-03</t>
        </is>
      </c>
      <c r="R93" s="5" t="inlineStr">
        <is>
          <t>2025-12-21</t>
        </is>
      </c>
      <c r="S93" s="5" t="inlineStr">
        <is>
          <t>애니메이션</t>
        </is>
      </c>
      <c r="T93" s="5" t="inlineStr">
        <is>
          <t>일본</t>
        </is>
      </c>
      <c r="U93" s="5" t="inlineStr">
        <is>
          <t>(주)엠디에스스피어</t>
        </is>
      </c>
    </row>
    <row r="94">
      <c r="A94" s="5" t="inlineStr">
        <is>
          <t>#진상을 말씀드립니다</t>
        </is>
      </c>
      <c r="B94" s="5" t="inlineStr">
        <is>
          <t>2025-09-24</t>
        </is>
      </c>
      <c r="C94" s="5" t="inlineStr">
        <is>
          <t>2025-09-24</t>
        </is>
      </c>
      <c r="D94" s="5" t="inlineStr">
        <is>
          <t>신작</t>
        </is>
      </c>
      <c r="E94" s="5" t="inlineStr">
        <is>
          <t>실사 외화</t>
        </is>
      </c>
      <c r="F94" s="5" t="inlineStr">
        <is>
          <t>종영</t>
        </is>
      </c>
      <c r="G94" s="7" t="n">
        <v>7002</v>
      </c>
      <c r="H94" s="7" t="n">
        <v>14526</v>
      </c>
      <c r="I94" s="7" t="n">
        <v>106</v>
      </c>
      <c r="J94" s="7" t="n">
        <v>895</v>
      </c>
      <c r="K94" s="8">
        <f>IFERROR(G94/H94,"")</f>
        <v/>
      </c>
      <c r="L94" s="13">
        <f>IFERROR(J94/H94,"")</f>
        <v/>
      </c>
      <c r="M94" s="7" t="n">
        <v>103</v>
      </c>
      <c r="N94" s="19" t="n">
        <v>23.6</v>
      </c>
      <c r="O94" s="19" t="n">
        <v>132</v>
      </c>
      <c r="P94" s="7" t="n">
        <v>9</v>
      </c>
      <c r="Q94" s="5" t="inlineStr">
        <is>
          <t>2025-09-08</t>
        </is>
      </c>
      <c r="R94" s="5" t="inlineStr">
        <is>
          <t>2025-11-09</t>
        </is>
      </c>
      <c r="S94" s="5" t="inlineStr">
        <is>
          <t>미스터리,스릴러,드라마</t>
        </is>
      </c>
      <c r="T94" s="5" t="inlineStr">
        <is>
          <t>일본</t>
        </is>
      </c>
      <c r="U94" s="5" t="inlineStr">
        <is>
          <t>주식회사 로아앤코홀딩스,(주)영화사 안다미로</t>
        </is>
      </c>
    </row>
    <row r="95">
      <c r="A95" s="5" t="inlineStr">
        <is>
          <t>파이널 피스</t>
        </is>
      </c>
      <c r="B95" s="5" t="inlineStr">
        <is>
          <t>2026-05-27</t>
        </is>
      </c>
      <c r="C95" s="5" t="inlineStr">
        <is>
          <t>2026-05-27</t>
        </is>
      </c>
      <c r="D95" s="5" t="inlineStr">
        <is>
          <t>신작</t>
        </is>
      </c>
      <c r="E95" s="5" t="inlineStr">
        <is>
          <t>실사 외화</t>
        </is>
      </c>
      <c r="F95" s="5" t="inlineStr">
        <is>
          <t>종영</t>
        </is>
      </c>
      <c r="G95" s="7" t="n">
        <v>6982</v>
      </c>
      <c r="H95" s="7" t="n">
        <v>7759</v>
      </c>
      <c r="I95" s="7" t="n">
        <v>66</v>
      </c>
      <c r="J95" s="7" t="n">
        <v>204</v>
      </c>
      <c r="K95" s="8">
        <f>IFERROR(G95/H95,"")</f>
        <v/>
      </c>
      <c r="L95" s="13">
        <f>IFERROR(J95/H95,"")</f>
        <v/>
      </c>
      <c r="M95" s="7" t="n">
        <v>65</v>
      </c>
      <c r="N95" s="19" t="n">
        <v>30.9</v>
      </c>
      <c r="O95" s="19" t="n">
        <v>124</v>
      </c>
      <c r="P95" s="7" t="n">
        <v>4</v>
      </c>
      <c r="Q95" s="5" t="inlineStr">
        <is>
          <t>2026-05-18</t>
        </is>
      </c>
      <c r="R95" s="5" t="inlineStr">
        <is>
          <t>2026-06-14</t>
        </is>
      </c>
      <c r="S95" s="5" t="inlineStr">
        <is>
          <t>미스터리,드라마</t>
        </is>
      </c>
      <c r="T95" s="5" t="inlineStr">
        <is>
          <t>일본</t>
        </is>
      </c>
      <c r="U95" s="5" t="inlineStr">
        <is>
          <t>(주)디스테이션</t>
        </is>
      </c>
    </row>
    <row r="96">
      <c r="A96" s="5" t="inlineStr">
        <is>
          <t>스타 이즈 본</t>
        </is>
      </c>
      <c r="B96" s="5" t="inlineStr">
        <is>
          <t>2023-11-29</t>
        </is>
      </c>
      <c r="C96" s="5" t="inlineStr">
        <is>
          <t>2018-10-09</t>
        </is>
      </c>
      <c r="D96" s="5" t="inlineStr">
        <is>
          <t>재개봉/구작</t>
        </is>
      </c>
      <c r="E96" s="5" t="inlineStr">
        <is>
          <t>실사 외화</t>
        </is>
      </c>
      <c r="F96" s="5" t="inlineStr">
        <is>
          <t>종영</t>
        </is>
      </c>
      <c r="G96" s="7" t="n">
        <v>6925</v>
      </c>
      <c r="H96" s="7" t="n">
        <v>19370</v>
      </c>
      <c r="I96" s="7" t="n">
        <v>52</v>
      </c>
      <c r="J96" s="7" t="n">
        <v>1766</v>
      </c>
      <c r="K96" s="8">
        <f>IFERROR(G96/H96,"")</f>
        <v/>
      </c>
      <c r="L96" s="13">
        <f>IFERROR(J96/H96,"")</f>
        <v/>
      </c>
      <c r="M96" s="7" t="n">
        <v>53</v>
      </c>
      <c r="N96" s="19" t="n">
        <v>27.9</v>
      </c>
      <c r="O96" s="19" t="n">
        <v>242</v>
      </c>
      <c r="P96" s="7" t="n">
        <v>3</v>
      </c>
      <c r="Q96" s="5" t="inlineStr">
        <is>
          <t>2023-11-27</t>
        </is>
      </c>
      <c r="R96" s="5" t="inlineStr">
        <is>
          <t>2023-12-17</t>
        </is>
      </c>
      <c r="S96" s="5" t="inlineStr">
        <is>
          <t>드라마,멜로/로맨스</t>
        </is>
      </c>
      <c r="T96" s="5" t="inlineStr">
        <is>
          <t>미국</t>
        </is>
      </c>
      <c r="U96" s="5" t="inlineStr">
        <is>
          <t>워너브러더스 코리아(주)</t>
        </is>
      </c>
    </row>
    <row r="97">
      <c r="A97" s="5" t="inlineStr">
        <is>
          <t>기괴도</t>
        </is>
      </c>
      <c r="B97" s="5" t="inlineStr">
        <is>
          <t>2024-06-12</t>
        </is>
      </c>
      <c r="C97" s="5" t="inlineStr">
        <is>
          <t>2024-06-12</t>
        </is>
      </c>
      <c r="D97" s="5" t="inlineStr">
        <is>
          <t>신작</t>
        </is>
      </c>
      <c r="E97" s="5" t="inlineStr">
        <is>
          <t>실사 외화</t>
        </is>
      </c>
      <c r="F97" s="5" t="inlineStr">
        <is>
          <t>종영</t>
        </is>
      </c>
      <c r="G97" s="7" t="n">
        <v>6912</v>
      </c>
      <c r="H97" s="7" t="n">
        <v>18104</v>
      </c>
      <c r="I97" s="7" t="n">
        <v>104</v>
      </c>
      <c r="J97" s="7" t="n">
        <v>1682</v>
      </c>
      <c r="K97" s="8">
        <f>IFERROR(G97/H97,"")</f>
        <v/>
      </c>
      <c r="L97" s="13">
        <f>IFERROR(J97/H97,"")</f>
        <v/>
      </c>
      <c r="M97" s="7" t="n">
        <v>83</v>
      </c>
      <c r="N97" s="19" t="n">
        <v>36.5</v>
      </c>
      <c r="O97" s="19" t="n">
        <v>149</v>
      </c>
      <c r="P97" s="7" t="n">
        <v>4</v>
      </c>
      <c r="Q97" s="5" t="inlineStr">
        <is>
          <t>2024-06-10</t>
        </is>
      </c>
      <c r="R97" s="5" t="inlineStr">
        <is>
          <t>2024-07-07</t>
        </is>
      </c>
      <c r="S97" s="5" t="inlineStr">
        <is>
          <t>공포(호러)</t>
        </is>
      </c>
      <c r="T97" s="5" t="inlineStr">
        <is>
          <t>일본</t>
        </is>
      </c>
      <c r="U97" s="5" t="inlineStr">
        <is>
          <t>와이드 릴리즈(주)</t>
        </is>
      </c>
    </row>
    <row r="98">
      <c r="A98" s="5" t="inlineStr">
        <is>
          <t>화양연화</t>
        </is>
      </c>
      <c r="B98" s="5" t="inlineStr">
        <is>
          <t>2024-02-14</t>
        </is>
      </c>
      <c r="C98" s="5" t="inlineStr">
        <is>
          <t>2000-10-20</t>
        </is>
      </c>
      <c r="D98" s="5" t="inlineStr">
        <is>
          <t>재개봉/구작</t>
        </is>
      </c>
      <c r="E98" s="5" t="inlineStr">
        <is>
          <t>실사 외화</t>
        </is>
      </c>
      <c r="F98" s="5" t="inlineStr">
        <is>
          <t>종영</t>
        </is>
      </c>
      <c r="G98" s="7" t="n">
        <v>6706</v>
      </c>
      <c r="H98" s="7" t="n">
        <v>6629</v>
      </c>
      <c r="I98" s="7" t="n">
        <v>50</v>
      </c>
      <c r="J98" s="7" t="n">
        <v>1232</v>
      </c>
      <c r="K98" s="8">
        <f>IFERROR(G98/H98,"")</f>
        <v/>
      </c>
      <c r="L98" s="13">
        <f>IFERROR(J98/H98,"")</f>
        <v/>
      </c>
      <c r="M98" s="7" t="n">
        <v>50</v>
      </c>
      <c r="N98" s="19" t="n">
        <v>38.1</v>
      </c>
      <c r="O98" s="19" t="n">
        <v>129</v>
      </c>
      <c r="P98" s="7" t="n">
        <v>3</v>
      </c>
      <c r="Q98" s="5" t="inlineStr">
        <is>
          <t>2024-02-12</t>
        </is>
      </c>
      <c r="R98" s="5" t="inlineStr">
        <is>
          <t>2024-03-03</t>
        </is>
      </c>
      <c r="S98" s="5" t="inlineStr">
        <is>
          <t>드라마,멜로/로맨스</t>
        </is>
      </c>
      <c r="T98" s="5" t="inlineStr">
        <is>
          <t>홍콩</t>
        </is>
      </c>
      <c r="U98" s="5" t="inlineStr">
        <is>
          <t>(주)디스테이션</t>
        </is>
      </c>
    </row>
    <row r="99">
      <c r="A99" s="5" t="inlineStr">
        <is>
          <t>카우보이 비밥-천국의문</t>
        </is>
      </c>
      <c r="B99" s="5" t="inlineStr">
        <is>
          <t>2025-04-25</t>
        </is>
      </c>
      <c r="C99" s="5" t="inlineStr">
        <is>
          <t>2003-10-03</t>
        </is>
      </c>
      <c r="D99" s="5" t="inlineStr">
        <is>
          <t>재개봉/구작</t>
        </is>
      </c>
      <c r="E99" s="5" t="inlineStr">
        <is>
          <t>애니메이션</t>
        </is>
      </c>
      <c r="F99" s="5" t="inlineStr">
        <is>
          <t>종영</t>
        </is>
      </c>
      <c r="G99" s="7" t="n">
        <v>6705</v>
      </c>
      <c r="H99" s="7" t="n">
        <v>20774</v>
      </c>
      <c r="I99" s="7" t="n">
        <v>89</v>
      </c>
      <c r="J99" s="7" t="n">
        <v>1473</v>
      </c>
      <c r="K99" s="8">
        <f>IFERROR(G99/H99,"")</f>
        <v/>
      </c>
      <c r="L99" s="13">
        <f>IFERROR(J99/H99,"")</f>
        <v/>
      </c>
      <c r="M99" s="7" t="n">
        <v>89</v>
      </c>
      <c r="N99" s="19" t="n">
        <v>43.7</v>
      </c>
      <c r="O99" s="19" t="n">
        <v>144</v>
      </c>
      <c r="P99" s="7" t="n">
        <v>5</v>
      </c>
      <c r="Q99" s="5" t="inlineStr">
        <is>
          <t>2025-04-21</t>
        </is>
      </c>
      <c r="R99" s="5" t="inlineStr">
        <is>
          <t>2025-05-25</t>
        </is>
      </c>
      <c r="S99" s="5" t="inlineStr">
        <is>
          <t>애니메이션,액션</t>
        </is>
      </c>
      <c r="T99" s="5" t="inlineStr">
        <is>
          <t>일본</t>
        </is>
      </c>
      <c r="U99" s="5" t="inlineStr">
        <is>
          <t>콜럼비아트라이스타㈜</t>
        </is>
      </c>
    </row>
    <row r="100">
      <c r="A100" s="5" t="inlineStr">
        <is>
          <t>장난을 잘 치는 타카기 양</t>
        </is>
      </c>
      <c r="B100" s="5" t="inlineStr">
        <is>
          <t>2025-03-05</t>
        </is>
      </c>
      <c r="C100" s="5" t="inlineStr">
        <is>
          <t>2025-03-05</t>
        </is>
      </c>
      <c r="D100" s="5" t="inlineStr">
        <is>
          <t>신작</t>
        </is>
      </c>
      <c r="E100" s="5" t="inlineStr">
        <is>
          <t>실사 외화</t>
        </is>
      </c>
      <c r="F100" s="5" t="inlineStr">
        <is>
          <t>종영</t>
        </is>
      </c>
      <c r="G100" s="7" t="n">
        <v>6595</v>
      </c>
      <c r="H100" s="7" t="n">
        <v>29660</v>
      </c>
      <c r="I100" s="7" t="n">
        <v>127</v>
      </c>
      <c r="J100" s="7" t="n">
        <v>1036</v>
      </c>
      <c r="K100" s="8">
        <f>IFERROR(G100/H100,"")</f>
        <v/>
      </c>
      <c r="L100" s="13">
        <f>IFERROR(J100/H100,"")</f>
        <v/>
      </c>
      <c r="M100" s="7" t="n">
        <v>86</v>
      </c>
      <c r="N100" s="19" t="n">
        <v>39.3</v>
      </c>
      <c r="O100" s="19" t="n">
        <v>164</v>
      </c>
      <c r="P100" s="7" t="n">
        <v>6</v>
      </c>
      <c r="Q100" s="5" t="inlineStr">
        <is>
          <t>2025-02-24</t>
        </is>
      </c>
      <c r="R100" s="5" t="inlineStr">
        <is>
          <t>2025-04-06</t>
        </is>
      </c>
      <c r="S100" s="5" t="inlineStr">
        <is>
          <t>멜로/로맨스,코미디</t>
        </is>
      </c>
      <c r="T100" s="5" t="inlineStr">
        <is>
          <t>일본</t>
        </is>
      </c>
      <c r="U100" s="5" t="inlineStr">
        <is>
          <t>TCO(주)더콘텐츠온</t>
        </is>
      </c>
    </row>
    <row r="101">
      <c r="A101" s="5" t="inlineStr">
        <is>
          <t>극장판 : 기븐_히이라기 믹스</t>
        </is>
      </c>
      <c r="B101" s="5" t="inlineStr">
        <is>
          <t>2024-08-28</t>
        </is>
      </c>
      <c r="C101" s="5" t="inlineStr">
        <is>
          <t>2024-08-28</t>
        </is>
      </c>
      <c r="D101" s="5" t="inlineStr">
        <is>
          <t>신작</t>
        </is>
      </c>
      <c r="E101" s="5" t="inlineStr">
        <is>
          <t>애니메이션</t>
        </is>
      </c>
      <c r="F101" s="5" t="inlineStr">
        <is>
          <t>종영</t>
        </is>
      </c>
      <c r="G101" s="7" t="n">
        <v>6593</v>
      </c>
      <c r="H101" s="7" t="n">
        <v>20436</v>
      </c>
      <c r="I101" s="7" t="n">
        <v>108</v>
      </c>
      <c r="J101" s="7" t="n">
        <v>1245</v>
      </c>
      <c r="K101" s="8">
        <f>IFERROR(G101/H101,"")</f>
        <v/>
      </c>
      <c r="L101" s="13">
        <f>IFERROR(J101/H101,"")</f>
        <v/>
      </c>
      <c r="M101" s="7" t="n">
        <v>104</v>
      </c>
      <c r="N101" s="19" t="n">
        <v>16</v>
      </c>
      <c r="O101" s="19" t="n">
        <v>149</v>
      </c>
      <c r="P101" s="7" t="n">
        <v>12</v>
      </c>
      <c r="Q101" s="5" t="inlineStr">
        <is>
          <t>2024-08-26</t>
        </is>
      </c>
      <c r="R101" s="5" t="inlineStr">
        <is>
          <t>2024-11-17</t>
        </is>
      </c>
      <c r="S101" s="5" t="inlineStr">
        <is>
          <t>애니메이션</t>
        </is>
      </c>
      <c r="T101" s="5" t="inlineStr">
        <is>
          <t>일본</t>
        </is>
      </c>
      <c r="U101" s="5" t="inlineStr">
        <is>
          <t>(주)팝엔터테인먼트</t>
        </is>
      </c>
    </row>
    <row r="102">
      <c r="A102" s="5" t="inlineStr">
        <is>
          <t>단다단: 사안</t>
        </is>
      </c>
      <c r="B102" s="5" t="inlineStr">
        <is>
          <t>2025-06-05</t>
        </is>
      </c>
      <c r="C102" s="5" t="inlineStr"/>
      <c r="D102" s="5" t="inlineStr">
        <is>
          <t>재개봉/구작</t>
        </is>
      </c>
      <c r="E102" s="5" t="inlineStr">
        <is>
          <t>애니메이션</t>
        </is>
      </c>
      <c r="F102" s="5" t="inlineStr">
        <is>
          <t>종영</t>
        </is>
      </c>
      <c r="G102" s="7" t="n">
        <v>6504</v>
      </c>
      <c r="H102" s="7" t="n">
        <v>12363</v>
      </c>
      <c r="I102" s="7" t="n">
        <v>66</v>
      </c>
      <c r="J102" s="7" t="n">
        <v>1419</v>
      </c>
      <c r="K102" s="8">
        <f>IFERROR(G102/H102,"")</f>
        <v/>
      </c>
      <c r="L102" s="13">
        <f>IFERROR(J102/H102,"")</f>
        <v/>
      </c>
      <c r="M102" s="7" t="n">
        <v>65</v>
      </c>
      <c r="N102" s="19" t="n">
        <v>39.2</v>
      </c>
      <c r="O102" s="19" t="n">
        <v>137</v>
      </c>
      <c r="P102" s="7" t="n">
        <v>4</v>
      </c>
      <c r="Q102" s="5" t="inlineStr">
        <is>
          <t>2025-06-02</t>
        </is>
      </c>
      <c r="R102" s="5" t="inlineStr">
        <is>
          <t>2025-06-29</t>
        </is>
      </c>
      <c r="S102" s="5" t="inlineStr">
        <is>
          <t>애니메이션</t>
        </is>
      </c>
      <c r="T102" s="5" t="inlineStr">
        <is>
          <t>일본</t>
        </is>
      </c>
      <c r="U102" s="5" t="inlineStr">
        <is>
          <t>(주)애니플러스</t>
        </is>
      </c>
    </row>
    <row r="103">
      <c r="A103" s="5" t="inlineStr">
        <is>
          <t>헤드윅</t>
        </is>
      </c>
      <c r="B103" s="5" t="inlineStr">
        <is>
          <t>2023-12-06</t>
        </is>
      </c>
      <c r="C103" s="5" t="inlineStr">
        <is>
          <t>2002-08-09</t>
        </is>
      </c>
      <c r="D103" s="5" t="inlineStr">
        <is>
          <t>재개봉/구작</t>
        </is>
      </c>
      <c r="E103" s="5" t="inlineStr">
        <is>
          <t>공연·실황</t>
        </is>
      </c>
      <c r="F103" s="5" t="inlineStr">
        <is>
          <t>종영</t>
        </is>
      </c>
      <c r="G103" s="7" t="n">
        <v>6280</v>
      </c>
      <c r="H103" s="7" t="n">
        <v>11909</v>
      </c>
      <c r="I103" s="7" t="n">
        <v>59</v>
      </c>
      <c r="J103" s="7" t="n">
        <v>2552</v>
      </c>
      <c r="K103" s="8">
        <f>IFERROR(G103/H103,"")</f>
        <v/>
      </c>
      <c r="L103" s="13">
        <f>IFERROR(J103/H103,"")</f>
        <v/>
      </c>
      <c r="M103" s="7" t="n">
        <v>59</v>
      </c>
      <c r="N103" s="19" t="n">
        <v>45.4</v>
      </c>
      <c r="O103" s="19" t="n">
        <v>157</v>
      </c>
      <c r="P103" s="7" t="n">
        <v>3</v>
      </c>
      <c r="Q103" s="5" t="inlineStr">
        <is>
          <t>2023-12-04</t>
        </is>
      </c>
      <c r="R103" s="5" t="inlineStr">
        <is>
          <t>2023-12-24</t>
        </is>
      </c>
      <c r="S103" s="5" t="inlineStr">
        <is>
          <t>뮤지컬</t>
        </is>
      </c>
      <c r="T103" s="5" t="inlineStr">
        <is>
          <t>미국</t>
        </is>
      </c>
      <c r="U103" s="5" t="inlineStr">
        <is>
          <t>워너브러더스 코리아(주),(주)엣나인필름,(주)씨네월드</t>
        </is>
      </c>
    </row>
    <row r="104">
      <c r="A104" s="5" t="inlineStr">
        <is>
          <t>피어스</t>
        </is>
      </c>
      <c r="B104" s="5" t="inlineStr">
        <is>
          <t>2026-05-13</t>
        </is>
      </c>
      <c r="C104" s="5" t="inlineStr">
        <is>
          <t>2026-05-13</t>
        </is>
      </c>
      <c r="D104" s="5" t="inlineStr">
        <is>
          <t>신작</t>
        </is>
      </c>
      <c r="E104" s="5" t="inlineStr">
        <is>
          <t>실사 외화</t>
        </is>
      </c>
      <c r="F104" s="5" t="inlineStr">
        <is>
          <t>종영</t>
        </is>
      </c>
      <c r="G104" s="7" t="n">
        <v>6142</v>
      </c>
      <c r="H104" s="7" t="n">
        <v>15665</v>
      </c>
      <c r="I104" s="7" t="n">
        <v>96</v>
      </c>
      <c r="J104" s="7" t="n">
        <v>988</v>
      </c>
      <c r="K104" s="8">
        <f>IFERROR(G104/H104,"")</f>
        <v/>
      </c>
      <c r="L104" s="13">
        <f>IFERROR(J104/H104,"")</f>
        <v/>
      </c>
      <c r="M104" s="7" t="n">
        <v>91</v>
      </c>
      <c r="N104" s="19" t="n">
        <v>20.1</v>
      </c>
      <c r="O104" s="19" t="n">
        <v>123</v>
      </c>
      <c r="P104" s="7" t="n">
        <v>6</v>
      </c>
      <c r="Q104" s="5" t="inlineStr">
        <is>
          <t>2026-05-04</t>
        </is>
      </c>
      <c r="R104" s="5" t="inlineStr">
        <is>
          <t>2026-06-14</t>
        </is>
      </c>
      <c r="S104" s="5" t="inlineStr">
        <is>
          <t>드라마,스릴러</t>
        </is>
      </c>
      <c r="T104" s="5" t="inlineStr">
        <is>
          <t>싱가포르</t>
        </is>
      </c>
      <c r="U104" s="5" t="inlineStr">
        <is>
          <t>(주)영화특별시에스엠씨</t>
        </is>
      </c>
    </row>
    <row r="105">
      <c r="A105" s="5" t="inlineStr">
        <is>
          <t>극장판 프리큐어 올스타즈 F</t>
        </is>
      </c>
      <c r="B105" s="5" t="inlineStr">
        <is>
          <t>2024-07-31</t>
        </is>
      </c>
      <c r="C105" s="5" t="inlineStr">
        <is>
          <t>2024-07-31</t>
        </is>
      </c>
      <c r="D105" s="5" t="inlineStr">
        <is>
          <t>신작</t>
        </is>
      </c>
      <c r="E105" s="5" t="inlineStr">
        <is>
          <t>애니메이션</t>
        </is>
      </c>
      <c r="F105" s="5" t="inlineStr">
        <is>
          <t>종영</t>
        </is>
      </c>
      <c r="G105" s="7" t="n">
        <v>6007</v>
      </c>
      <c r="H105" s="7" t="n">
        <v>17526</v>
      </c>
      <c r="I105" s="7" t="n">
        <v>104</v>
      </c>
      <c r="J105" s="7" t="n">
        <v>1013</v>
      </c>
      <c r="K105" s="8">
        <f>IFERROR(G105/H105,"")</f>
        <v/>
      </c>
      <c r="L105" s="13">
        <f>IFERROR(J105/H105,"")</f>
        <v/>
      </c>
      <c r="M105" s="7" t="n">
        <v>103</v>
      </c>
      <c r="N105" s="19" t="n">
        <v>21.2</v>
      </c>
      <c r="O105" s="19" t="n">
        <v>145</v>
      </c>
      <c r="P105" s="7" t="n">
        <v>8</v>
      </c>
      <c r="Q105" s="5" t="inlineStr">
        <is>
          <t>2024-07-22</t>
        </is>
      </c>
      <c r="R105" s="5" t="inlineStr">
        <is>
          <t>2024-09-15</t>
        </is>
      </c>
      <c r="S105" s="5" t="inlineStr">
        <is>
          <t>애니메이션</t>
        </is>
      </c>
      <c r="T105" s="5" t="inlineStr">
        <is>
          <t>일본</t>
        </is>
      </c>
      <c r="U105" s="5" t="inlineStr">
        <is>
          <t>(주)디스테이션</t>
        </is>
      </c>
    </row>
    <row r="106">
      <c r="A106" s="5" t="inlineStr">
        <is>
          <t>칸다하</t>
        </is>
      </c>
      <c r="B106" s="5" t="inlineStr">
        <is>
          <t>2023-09-20</t>
        </is>
      </c>
      <c r="C106" s="5" t="inlineStr">
        <is>
          <t>2023-09-20</t>
        </is>
      </c>
      <c r="D106" s="5" t="inlineStr">
        <is>
          <t>신작</t>
        </is>
      </c>
      <c r="E106" s="5" t="inlineStr">
        <is>
          <t>실사 외화</t>
        </is>
      </c>
      <c r="F106" s="5" t="inlineStr">
        <is>
          <t>종영</t>
        </is>
      </c>
      <c r="G106" s="7" t="n">
        <v>5949</v>
      </c>
      <c r="H106" s="7" t="n">
        <v>17605</v>
      </c>
      <c r="I106" s="7" t="n">
        <v>78</v>
      </c>
      <c r="J106" s="7" t="n">
        <v>1203</v>
      </c>
      <c r="K106" s="8">
        <f>IFERROR(G106/H106,"")</f>
        <v/>
      </c>
      <c r="L106" s="13">
        <f>IFERROR(J106/H106,"")</f>
        <v/>
      </c>
      <c r="M106" s="7" t="n">
        <v>78</v>
      </c>
      <c r="N106" s="19" t="n">
        <v>31.9</v>
      </c>
      <c r="O106" s="19" t="n">
        <v>190</v>
      </c>
      <c r="P106" s="7" t="n">
        <v>3</v>
      </c>
      <c r="Q106" s="5" t="inlineStr">
        <is>
          <t>2023-09-18</t>
        </is>
      </c>
      <c r="R106" s="5" t="inlineStr">
        <is>
          <t>2023-10-08</t>
        </is>
      </c>
      <c r="S106" s="5" t="inlineStr">
        <is>
          <t>스릴러,액션</t>
        </is>
      </c>
      <c r="T106" s="5" t="inlineStr">
        <is>
          <t>미국</t>
        </is>
      </c>
      <c r="U106" s="5" t="inlineStr">
        <is>
          <t>(주)누리픽쳐스</t>
        </is>
      </c>
    </row>
    <row r="107">
      <c r="A107" s="5" t="inlineStr">
        <is>
          <t>아이언맨</t>
        </is>
      </c>
      <c r="B107" s="5" t="inlineStr">
        <is>
          <t>2024-10-09</t>
        </is>
      </c>
      <c r="C107" s="5" t="inlineStr">
        <is>
          <t>2008-04-30</t>
        </is>
      </c>
      <c r="D107" s="5" t="inlineStr">
        <is>
          <t>재개봉/구작</t>
        </is>
      </c>
      <c r="E107" s="5" t="inlineStr">
        <is>
          <t>실사 외화</t>
        </is>
      </c>
      <c r="F107" s="5" t="inlineStr">
        <is>
          <t>종영</t>
        </is>
      </c>
      <c r="G107" s="7" t="n">
        <v>5944</v>
      </c>
      <c r="H107" s="7" t="n">
        <v>18444</v>
      </c>
      <c r="I107" s="7" t="n">
        <v>88</v>
      </c>
      <c r="J107" s="7" t="n">
        <v>2924</v>
      </c>
      <c r="K107" s="8">
        <f>IFERROR(G107/H107,"")</f>
        <v/>
      </c>
      <c r="L107" s="13">
        <f>IFERROR(J107/H107,"")</f>
        <v/>
      </c>
      <c r="M107" s="7" t="n">
        <v>88</v>
      </c>
      <c r="N107" s="19" t="n">
        <v>50.4</v>
      </c>
      <c r="O107" s="19" t="n">
        <v>173</v>
      </c>
      <c r="P107" s="7" t="n">
        <v>3</v>
      </c>
      <c r="Q107" s="5" t="inlineStr">
        <is>
          <t>2024-10-07</t>
        </is>
      </c>
      <c r="R107" s="5" t="inlineStr">
        <is>
          <t>2024-10-27</t>
        </is>
      </c>
      <c r="S107" s="5" t="inlineStr">
        <is>
          <t>SF,드라마,액션</t>
        </is>
      </c>
      <c r="T107" s="5" t="inlineStr">
        <is>
          <t>미국</t>
        </is>
      </c>
      <c r="U107" s="5" t="inlineStr">
        <is>
          <t>씨제이엔터테인먼트</t>
        </is>
      </c>
    </row>
    <row r="108">
      <c r="A108" s="5" t="inlineStr">
        <is>
          <t>누룩</t>
        </is>
      </c>
      <c r="B108" s="5" t="inlineStr">
        <is>
          <t>2026-04-15</t>
        </is>
      </c>
      <c r="C108" s="5" t="inlineStr">
        <is>
          <t>2026-04-15</t>
        </is>
      </c>
      <c r="D108" s="5" t="inlineStr">
        <is>
          <t>신작</t>
        </is>
      </c>
      <c r="E108" s="5" t="inlineStr">
        <is>
          <t>실사 한국</t>
        </is>
      </c>
      <c r="F108" s="5" t="inlineStr">
        <is>
          <t>종영</t>
        </is>
      </c>
      <c r="G108" s="7" t="n">
        <v>5911</v>
      </c>
      <c r="H108" s="7" t="n">
        <v>9887</v>
      </c>
      <c r="I108" s="7" t="n">
        <v>76</v>
      </c>
      <c r="J108" s="7" t="n">
        <v>1190</v>
      </c>
      <c r="K108" s="8">
        <f>IFERROR(G108/H108,"")</f>
        <v/>
      </c>
      <c r="L108" s="13">
        <f>IFERROR(J108/H108,"")</f>
        <v/>
      </c>
      <c r="M108" s="7" t="n">
        <v>74</v>
      </c>
      <c r="N108" s="19" t="n">
        <v>27.8</v>
      </c>
      <c r="O108" s="19" t="n">
        <v>124</v>
      </c>
      <c r="P108" s="7" t="n">
        <v>4</v>
      </c>
      <c r="Q108" s="5" t="inlineStr">
        <is>
          <t>2026-04-06</t>
        </is>
      </c>
      <c r="R108" s="5" t="inlineStr">
        <is>
          <t>2026-05-03</t>
        </is>
      </c>
      <c r="S108" s="5" t="inlineStr">
        <is>
          <t>가족,미스터리,드라마</t>
        </is>
      </c>
      <c r="T108" s="5" t="inlineStr">
        <is>
          <t>한국</t>
        </is>
      </c>
      <c r="U108" s="5" t="inlineStr">
        <is>
          <t>(주)로드쇼플러스</t>
        </is>
      </c>
    </row>
    <row r="109">
      <c r="A109" s="5" t="inlineStr">
        <is>
          <t>5등분의 신부 스페셜</t>
        </is>
      </c>
      <c r="B109" s="5" t="inlineStr">
        <is>
          <t>2023-10-12</t>
        </is>
      </c>
      <c r="C109" s="5" t="inlineStr"/>
      <c r="D109" s="5" t="inlineStr">
        <is>
          <t>재개봉/구작</t>
        </is>
      </c>
      <c r="E109" s="5" t="inlineStr">
        <is>
          <t>애니메이션</t>
        </is>
      </c>
      <c r="F109" s="5" t="inlineStr">
        <is>
          <t>종영</t>
        </is>
      </c>
      <c r="G109" s="7" t="n">
        <v>5854</v>
      </c>
      <c r="H109" s="7" t="n">
        <v>13124</v>
      </c>
      <c r="I109" s="7" t="n">
        <v>69</v>
      </c>
      <c r="J109" s="7" t="n">
        <v>833</v>
      </c>
      <c r="K109" s="8">
        <f>IFERROR(G109/H109,"")</f>
        <v/>
      </c>
      <c r="L109" s="13">
        <f>IFERROR(J109/H109,"")</f>
        <v/>
      </c>
      <c r="M109" s="7" t="n">
        <v>69</v>
      </c>
      <c r="N109" s="19" t="n">
        <v>36.7</v>
      </c>
      <c r="O109" s="19" t="n">
        <v>155</v>
      </c>
      <c r="P109" s="7" t="n">
        <v>4</v>
      </c>
      <c r="Q109" s="5" t="inlineStr">
        <is>
          <t>2023-10-09</t>
        </is>
      </c>
      <c r="R109" s="5" t="inlineStr">
        <is>
          <t>2023-11-05</t>
        </is>
      </c>
      <c r="S109" s="5" t="inlineStr">
        <is>
          <t>애니메이션</t>
        </is>
      </c>
      <c r="T109" s="5" t="inlineStr">
        <is>
          <t>일본</t>
        </is>
      </c>
      <c r="U109" s="5" t="inlineStr"/>
    </row>
    <row r="110">
      <c r="A110" s="5" t="inlineStr">
        <is>
          <t>지리멸렬</t>
        </is>
      </c>
      <c r="B110" s="5" t="inlineStr">
        <is>
          <t>2025-08-27</t>
        </is>
      </c>
      <c r="C110" s="5" t="inlineStr"/>
      <c r="D110" s="5" t="inlineStr">
        <is>
          <t>재개봉/구작</t>
        </is>
      </c>
      <c r="E110" s="5" t="inlineStr">
        <is>
          <t>실사 한국</t>
        </is>
      </c>
      <c r="F110" s="5" t="inlineStr">
        <is>
          <t>종영</t>
        </is>
      </c>
      <c r="G110" s="7" t="n">
        <v>5268</v>
      </c>
      <c r="H110" s="7" t="n">
        <v>11813</v>
      </c>
      <c r="I110" s="7" t="n">
        <v>88</v>
      </c>
      <c r="J110" s="7" t="n">
        <v>783</v>
      </c>
      <c r="K110" s="8">
        <f>IFERROR(G110/H110,"")</f>
        <v/>
      </c>
      <c r="L110" s="13">
        <f>IFERROR(J110/H110,"")</f>
        <v/>
      </c>
      <c r="M110" s="7" t="n">
        <v>87</v>
      </c>
      <c r="N110" s="19" t="n">
        <v>45.2</v>
      </c>
      <c r="O110" s="19" t="n">
        <v>123</v>
      </c>
      <c r="P110" s="7" t="n">
        <v>5</v>
      </c>
      <c r="Q110" s="5" t="inlineStr">
        <is>
          <t>2025-08-25</t>
        </is>
      </c>
      <c r="R110" s="5" t="inlineStr">
        <is>
          <t>2025-09-28</t>
        </is>
      </c>
      <c r="S110" s="5" t="inlineStr">
        <is>
          <t>코미디</t>
        </is>
      </c>
      <c r="T110" s="5" t="inlineStr">
        <is>
          <t>한국</t>
        </is>
      </c>
      <c r="U110" s="5" t="inlineStr">
        <is>
          <t>㈜인디스토리</t>
        </is>
      </c>
    </row>
    <row r="111">
      <c r="A111" s="5" t="inlineStr">
        <is>
          <t>2017 방탄소년단 라이브 트릴로지 에피소드 3 윙스 투어 더 파이널 리마스터링</t>
        </is>
      </c>
      <c r="B111" s="5" t="inlineStr">
        <is>
          <t>2025-09-23</t>
        </is>
      </c>
      <c r="C111" s="5" t="inlineStr">
        <is>
          <t>2025-09-23</t>
        </is>
      </c>
      <c r="D111" s="5" t="inlineStr">
        <is>
          <t>신작</t>
        </is>
      </c>
      <c r="E111" s="5" t="inlineStr">
        <is>
          <t>공연·실황</t>
        </is>
      </c>
      <c r="F111" s="5" t="inlineStr">
        <is>
          <t>종영</t>
        </is>
      </c>
      <c r="G111" s="7" t="n">
        <v>5209</v>
      </c>
      <c r="H111" s="7" t="n">
        <v>285</v>
      </c>
      <c r="I111" s="7" t="n">
        <v>1</v>
      </c>
      <c r="J111" s="7" t="n">
        <v>150</v>
      </c>
      <c r="K111" s="8">
        <f>IFERROR(G111/H111,"")</f>
        <v/>
      </c>
      <c r="L111" s="13">
        <f>IFERROR(J111/H111,"")</f>
        <v/>
      </c>
      <c r="M111" s="7" t="n">
        <v>57</v>
      </c>
      <c r="N111" s="19" t="n">
        <v>29</v>
      </c>
      <c r="O111" s="19" t="n">
        <v>152</v>
      </c>
      <c r="P111" s="7" t="n">
        <v>5</v>
      </c>
      <c r="Q111" s="5" t="inlineStr">
        <is>
          <t>2025-09-22</t>
        </is>
      </c>
      <c r="R111" s="5" t="inlineStr">
        <is>
          <t>2025-10-26</t>
        </is>
      </c>
      <c r="S111" s="5" t="inlineStr">
        <is>
          <t>공연</t>
        </is>
      </c>
      <c r="T111" s="5" t="inlineStr">
        <is>
          <t>한국</t>
        </is>
      </c>
      <c r="U111" s="5" t="inlineStr">
        <is>
          <t>메가박스중앙(주)</t>
        </is>
      </c>
    </row>
    <row r="112">
      <c r="A112" s="5" t="inlineStr">
        <is>
          <t>기빗올: 우리들의 썸머</t>
        </is>
      </c>
      <c r="B112" s="5" t="inlineStr">
        <is>
          <t>2025-06-18</t>
        </is>
      </c>
      <c r="C112" s="5" t="inlineStr">
        <is>
          <t>2025-06-18</t>
        </is>
      </c>
      <c r="D112" s="5" t="inlineStr">
        <is>
          <t>신작</t>
        </is>
      </c>
      <c r="E112" s="5" t="inlineStr">
        <is>
          <t>애니메이션</t>
        </is>
      </c>
      <c r="F112" s="5" t="inlineStr">
        <is>
          <t>종영</t>
        </is>
      </c>
      <c r="G112" s="7" t="n">
        <v>5190</v>
      </c>
      <c r="H112" s="7" t="n">
        <v>23212</v>
      </c>
      <c r="I112" s="7" t="n">
        <v>107</v>
      </c>
      <c r="J112" s="7" t="n">
        <v>1152</v>
      </c>
      <c r="K112" s="8">
        <f>IFERROR(G112/H112,"")</f>
        <v/>
      </c>
      <c r="L112" s="13">
        <f>IFERROR(J112/H112,"")</f>
        <v/>
      </c>
      <c r="M112" s="7" t="n">
        <v>105</v>
      </c>
      <c r="N112" s="19" t="n">
        <v>38.9</v>
      </c>
      <c r="O112" s="19" t="n">
        <v>148</v>
      </c>
      <c r="P112" s="7" t="n">
        <v>5</v>
      </c>
      <c r="Q112" s="5" t="inlineStr">
        <is>
          <t>2025-06-09</t>
        </is>
      </c>
      <c r="R112" s="5" t="inlineStr">
        <is>
          <t>2025-07-13</t>
        </is>
      </c>
      <c r="S112" s="5" t="inlineStr">
        <is>
          <t>애니메이션</t>
        </is>
      </c>
      <c r="T112" s="5" t="inlineStr">
        <is>
          <t>일본</t>
        </is>
      </c>
      <c r="U112" s="5" t="inlineStr">
        <is>
          <t>찬란</t>
        </is>
      </c>
    </row>
    <row r="113">
      <c r="A113" s="5" t="inlineStr">
        <is>
          <t>기쿠지로의 여름</t>
        </is>
      </c>
      <c r="B113" s="5" t="inlineStr">
        <is>
          <t>2024-07-03</t>
        </is>
      </c>
      <c r="C113" s="5" t="inlineStr">
        <is>
          <t>2002-08-30</t>
        </is>
      </c>
      <c r="D113" s="5" t="inlineStr">
        <is>
          <t>재개봉/구작</t>
        </is>
      </c>
      <c r="E113" s="5" t="inlineStr">
        <is>
          <t>실사 외화</t>
        </is>
      </c>
      <c r="F113" s="5" t="inlineStr">
        <is>
          <t>종영</t>
        </is>
      </c>
      <c r="G113" s="7" t="n">
        <v>5186</v>
      </c>
      <c r="H113" s="7" t="n">
        <v>8163</v>
      </c>
      <c r="I113" s="7" t="n">
        <v>59</v>
      </c>
      <c r="J113" s="7" t="n">
        <v>1024</v>
      </c>
      <c r="K113" s="8">
        <f>IFERROR(G113/H113,"")</f>
        <v/>
      </c>
      <c r="L113" s="13">
        <f>IFERROR(J113/H113,"")</f>
        <v/>
      </c>
      <c r="M113" s="7" t="n">
        <v>59</v>
      </c>
      <c r="N113" s="19" t="n">
        <v>18.8</v>
      </c>
      <c r="O113" s="19" t="n">
        <v>131</v>
      </c>
      <c r="P113" s="7" t="n">
        <v>5</v>
      </c>
      <c r="Q113" s="5" t="inlineStr">
        <is>
          <t>2024-07-01</t>
        </is>
      </c>
      <c r="R113" s="5" t="inlineStr">
        <is>
          <t>2024-08-04</t>
        </is>
      </c>
      <c r="S113" s="5" t="inlineStr">
        <is>
          <t>코미디</t>
        </is>
      </c>
      <c r="T113" s="5" t="inlineStr">
        <is>
          <t>일본</t>
        </is>
      </c>
      <c r="U113" s="5" t="inlineStr">
        <is>
          <t>(주)영화사 진진,(주)튜브엔터테인먼트</t>
        </is>
      </c>
    </row>
    <row r="114">
      <c r="A114" s="5" t="inlineStr">
        <is>
          <t>2019 방탄소년단 월드 투어 '러브 유어셀프 : 스피크 유어셀프' 런던 리마스터링</t>
        </is>
      </c>
      <c r="B114" s="5" t="inlineStr">
        <is>
          <t>2025-09-23</t>
        </is>
      </c>
      <c r="C114" s="5" t="inlineStr">
        <is>
          <t>2025-09-23</t>
        </is>
      </c>
      <c r="D114" s="5" t="inlineStr">
        <is>
          <t>신작</t>
        </is>
      </c>
      <c r="E114" s="5" t="inlineStr">
        <is>
          <t>공연·실황</t>
        </is>
      </c>
      <c r="F114" s="5" t="inlineStr">
        <is>
          <t>종영</t>
        </is>
      </c>
      <c r="G114" s="7" t="n">
        <v>5163</v>
      </c>
      <c r="H114" s="7" t="n">
        <v>285</v>
      </c>
      <c r="I114" s="7" t="n">
        <v>1</v>
      </c>
      <c r="J114" s="7" t="n">
        <v>150</v>
      </c>
      <c r="K114" s="8">
        <f>IFERROR(G114/H114,"")</f>
        <v/>
      </c>
      <c r="L114" s="13">
        <f>IFERROR(J114/H114,"")</f>
        <v/>
      </c>
      <c r="M114" s="7" t="n">
        <v>80</v>
      </c>
      <c r="N114" s="19" t="n">
        <v>26.9</v>
      </c>
      <c r="O114" s="19" t="n">
        <v>126</v>
      </c>
      <c r="P114" s="7" t="n">
        <v>5</v>
      </c>
      <c r="Q114" s="5" t="inlineStr">
        <is>
          <t>2025-09-22</t>
        </is>
      </c>
      <c r="R114" s="5" t="inlineStr">
        <is>
          <t>2025-10-26</t>
        </is>
      </c>
      <c r="S114" s="5" t="inlineStr">
        <is>
          <t>공연</t>
        </is>
      </c>
      <c r="T114" s="5" t="inlineStr">
        <is>
          <t>한국</t>
        </is>
      </c>
      <c r="U114" s="5" t="inlineStr">
        <is>
          <t>메가박스중앙(주)</t>
        </is>
      </c>
    </row>
    <row r="115">
      <c r="A115" s="5" t="inlineStr">
        <is>
          <t>렛 미 인</t>
        </is>
      </c>
      <c r="B115" s="5" t="inlineStr">
        <is>
          <t>2025-01-15</t>
        </is>
      </c>
      <c r="C115" s="5" t="inlineStr">
        <is>
          <t>2010-11-18</t>
        </is>
      </c>
      <c r="D115" s="5" t="inlineStr">
        <is>
          <t>재개봉/구작</t>
        </is>
      </c>
      <c r="E115" s="5" t="inlineStr">
        <is>
          <t>실사 외화</t>
        </is>
      </c>
      <c r="F115" s="5" t="inlineStr">
        <is>
          <t>종영</t>
        </is>
      </c>
      <c r="G115" s="7" t="n">
        <v>5160</v>
      </c>
      <c r="H115" s="7" t="n">
        <v>24909</v>
      </c>
      <c r="I115" s="7" t="n">
        <v>116</v>
      </c>
      <c r="J115" s="7" t="n">
        <v>682</v>
      </c>
      <c r="K115" s="8">
        <f>IFERROR(G115/H115,"")</f>
        <v/>
      </c>
      <c r="L115" s="13">
        <f>IFERROR(J115/H115,"")</f>
        <v/>
      </c>
      <c r="M115" s="7" t="n">
        <v>112</v>
      </c>
      <c r="N115" s="19" t="n">
        <v>28.5</v>
      </c>
      <c r="O115" s="19" t="n">
        <v>171</v>
      </c>
      <c r="P115" s="7" t="n">
        <v>6</v>
      </c>
      <c r="Q115" s="5" t="inlineStr">
        <is>
          <t>2025-01-06</t>
        </is>
      </c>
      <c r="R115" s="5" t="inlineStr">
        <is>
          <t>2025-02-16</t>
        </is>
      </c>
      <c r="S115" s="5" t="inlineStr">
        <is>
          <t>드라마,판타지,공포(호러),미스터리</t>
        </is>
      </c>
      <c r="T115" s="5" t="inlineStr">
        <is>
          <t>영국</t>
        </is>
      </c>
      <c r="U115" s="5" t="inlineStr">
        <is>
          <t>롯데쇼핑㈜롯데엔터테인먼트</t>
        </is>
      </c>
    </row>
    <row r="116">
      <c r="A116" s="5" t="inlineStr">
        <is>
          <t>영웅본색</t>
        </is>
      </c>
      <c r="B116" s="5" t="inlineStr">
        <is>
          <t>2024-03-27</t>
        </is>
      </c>
      <c r="C116" s="5" t="inlineStr">
        <is>
          <t>1987-05-23</t>
        </is>
      </c>
      <c r="D116" s="5" t="inlineStr">
        <is>
          <t>재개봉/구작</t>
        </is>
      </c>
      <c r="E116" s="5" t="inlineStr">
        <is>
          <t>실사 외화</t>
        </is>
      </c>
      <c r="F116" s="5" t="inlineStr">
        <is>
          <t>종영</t>
        </is>
      </c>
      <c r="G116" s="7" t="n">
        <v>5154</v>
      </c>
      <c r="H116" s="7" t="n">
        <v>8172</v>
      </c>
      <c r="I116" s="7" t="n">
        <v>61</v>
      </c>
      <c r="J116" s="7" t="n">
        <v>911</v>
      </c>
      <c r="K116" s="8">
        <f>IFERROR(G116/H116,"")</f>
        <v/>
      </c>
      <c r="L116" s="13">
        <f>IFERROR(J116/H116,"")</f>
        <v/>
      </c>
      <c r="M116" s="7" t="n">
        <v>61</v>
      </c>
      <c r="N116" s="19" t="n">
        <v>23.6</v>
      </c>
      <c r="O116" s="19" t="n">
        <v>135</v>
      </c>
      <c r="P116" s="7" t="n">
        <v>5</v>
      </c>
      <c r="Q116" s="5" t="inlineStr">
        <is>
          <t>2024-03-25</t>
        </is>
      </c>
      <c r="R116" s="5" t="inlineStr">
        <is>
          <t>2024-04-28</t>
        </is>
      </c>
      <c r="S116" s="5" t="inlineStr">
        <is>
          <t>액션,범죄</t>
        </is>
      </c>
      <c r="T116" s="5" t="inlineStr">
        <is>
          <t>홍콩</t>
        </is>
      </c>
      <c r="U116" s="5" t="inlineStr">
        <is>
          <t>(주)제이앤씨미디어그룹,와이드 릴리즈(주),(유)조이앤시네마</t>
        </is>
      </c>
    </row>
    <row r="117">
      <c r="A117" s="5" t="inlineStr">
        <is>
          <t>클래식</t>
        </is>
      </c>
      <c r="B117" s="5" t="inlineStr">
        <is>
          <t>2024-07-03</t>
        </is>
      </c>
      <c r="C117" s="5" t="inlineStr">
        <is>
          <t>2003-01-30</t>
        </is>
      </c>
      <c r="D117" s="5" t="inlineStr">
        <is>
          <t>재개봉/구작</t>
        </is>
      </c>
      <c r="E117" s="5" t="inlineStr">
        <is>
          <t>실사 한국</t>
        </is>
      </c>
      <c r="F117" s="5" t="inlineStr">
        <is>
          <t>종영</t>
        </is>
      </c>
      <c r="G117" s="7" t="n">
        <v>5098</v>
      </c>
      <c r="H117" s="7" t="n">
        <v>7339</v>
      </c>
      <c r="I117" s="7" t="n">
        <v>53</v>
      </c>
      <c r="J117" s="7" t="n">
        <v>1065</v>
      </c>
      <c r="K117" s="8">
        <f>IFERROR(G117/H117,"")</f>
        <v/>
      </c>
      <c r="L117" s="13">
        <f>IFERROR(J117/H117,"")</f>
        <v/>
      </c>
      <c r="M117" s="7" t="n">
        <v>53</v>
      </c>
      <c r="N117" s="19" t="n">
        <v>11</v>
      </c>
      <c r="O117" s="19" t="n">
        <v>127</v>
      </c>
      <c r="P117" s="7" t="n">
        <v>7</v>
      </c>
      <c r="Q117" s="5" t="inlineStr">
        <is>
          <t>2024-07-01</t>
        </is>
      </c>
      <c r="R117" s="5" t="inlineStr">
        <is>
          <t>2024-08-18</t>
        </is>
      </c>
      <c r="S117" s="5" t="inlineStr">
        <is>
          <t>드라마</t>
        </is>
      </c>
      <c r="T117" s="5" t="inlineStr">
        <is>
          <t>한국</t>
        </is>
      </c>
      <c r="U117" s="5" t="inlineStr">
        <is>
          <t>(주)시네마서비스,(주)씨제이이엔엠</t>
        </is>
      </c>
    </row>
    <row r="118">
      <c r="A118" s="5" t="inlineStr">
        <is>
          <t>극장판 울려라! 유포니엄: 앙상블 콘테스트</t>
        </is>
      </c>
      <c r="B118" s="5" t="inlineStr">
        <is>
          <t>2024-04-17</t>
        </is>
      </c>
      <c r="C118" s="5" t="inlineStr">
        <is>
          <t>2024-04-17</t>
        </is>
      </c>
      <c r="D118" s="5" t="inlineStr">
        <is>
          <t>신작</t>
        </is>
      </c>
      <c r="E118" s="5" t="inlineStr">
        <is>
          <t>애니메이션</t>
        </is>
      </c>
      <c r="F118" s="5" t="inlineStr">
        <is>
          <t>종영</t>
        </is>
      </c>
      <c r="G118" s="7" t="n">
        <v>4843</v>
      </c>
      <c r="H118" s="7" t="n">
        <v>17157</v>
      </c>
      <c r="I118" s="7" t="n">
        <v>99</v>
      </c>
      <c r="J118" s="7" t="n">
        <v>466</v>
      </c>
      <c r="K118" s="8">
        <f>IFERROR(G118/H118,"")</f>
        <v/>
      </c>
      <c r="L118" s="13">
        <f>IFERROR(J118/H118,"")</f>
        <v/>
      </c>
      <c r="M118" s="7" t="n">
        <v>98</v>
      </c>
      <c r="N118" s="19" t="n">
        <v>22.9</v>
      </c>
      <c r="O118" s="19" t="n">
        <v>142</v>
      </c>
      <c r="P118" s="7" t="n">
        <v>7</v>
      </c>
      <c r="Q118" s="5" t="inlineStr">
        <is>
          <t>2024-04-15</t>
        </is>
      </c>
      <c r="R118" s="5" t="inlineStr">
        <is>
          <t>2024-06-02</t>
        </is>
      </c>
      <c r="S118" s="5" t="inlineStr">
        <is>
          <t>애니메이션</t>
        </is>
      </c>
      <c r="T118" s="5" t="inlineStr">
        <is>
          <t>일본</t>
        </is>
      </c>
      <c r="U118" s="5" t="inlineStr">
        <is>
          <t>(주)스튜디오디에이치엘</t>
        </is>
      </c>
    </row>
    <row r="119">
      <c r="A119" s="5" t="inlineStr">
        <is>
          <t>아이언맨 3</t>
        </is>
      </c>
      <c r="B119" s="5" t="inlineStr">
        <is>
          <t>2024-10-09</t>
        </is>
      </c>
      <c r="C119" s="5" t="inlineStr">
        <is>
          <t>2013-04-25</t>
        </is>
      </c>
      <c r="D119" s="5" t="inlineStr">
        <is>
          <t>재개봉/구작</t>
        </is>
      </c>
      <c r="E119" s="5" t="inlineStr">
        <is>
          <t>실사 외화</t>
        </is>
      </c>
      <c r="F119" s="5" t="inlineStr">
        <is>
          <t>종영</t>
        </is>
      </c>
      <c r="G119" s="7" t="n">
        <v>4494</v>
      </c>
      <c r="H119" s="7" t="n">
        <v>16028</v>
      </c>
      <c r="I119" s="7" t="n">
        <v>88</v>
      </c>
      <c r="J119" s="7" t="n">
        <v>1009</v>
      </c>
      <c r="K119" s="8">
        <f>IFERROR(G119/H119,"")</f>
        <v/>
      </c>
      <c r="L119" s="13">
        <f>IFERROR(J119/H119,"")</f>
        <v/>
      </c>
      <c r="M119" s="7" t="n">
        <v>88</v>
      </c>
      <c r="N119" s="19" t="n">
        <v>49</v>
      </c>
      <c r="O119" s="19" t="n">
        <v>166</v>
      </c>
      <c r="P119" s="7" t="n">
        <v>3</v>
      </c>
      <c r="Q119" s="5" t="inlineStr">
        <is>
          <t>2024-10-07</t>
        </is>
      </c>
      <c r="R119" s="5" t="inlineStr">
        <is>
          <t>2024-10-27</t>
        </is>
      </c>
      <c r="S119" s="5" t="inlineStr">
        <is>
          <t>액션,어드벤처,SF</t>
        </is>
      </c>
      <c r="T119" s="5" t="inlineStr">
        <is>
          <t>미국</t>
        </is>
      </c>
      <c r="U119" s="5" t="inlineStr">
        <is>
          <t>소니픽쳐스릴리징월트디즈니스튜디오스코리아(주)</t>
        </is>
      </c>
    </row>
    <row r="120">
      <c r="A120" s="5" t="inlineStr">
        <is>
          <t>8월의 크리스마스</t>
        </is>
      </c>
      <c r="B120" s="5" t="inlineStr">
        <is>
          <t>2024-04-17</t>
        </is>
      </c>
      <c r="C120" s="5" t="inlineStr">
        <is>
          <t>1998-01-24</t>
        </is>
      </c>
      <c r="D120" s="5" t="inlineStr">
        <is>
          <t>재개봉/구작</t>
        </is>
      </c>
      <c r="E120" s="5" t="inlineStr">
        <is>
          <t>실사 한국</t>
        </is>
      </c>
      <c r="F120" s="5" t="inlineStr">
        <is>
          <t>종영</t>
        </is>
      </c>
      <c r="G120" s="7" t="n">
        <v>4426</v>
      </c>
      <c r="H120" s="7" t="n">
        <v>8260</v>
      </c>
      <c r="I120" s="7" t="n">
        <v>59</v>
      </c>
      <c r="J120" s="7" t="n">
        <v>433</v>
      </c>
      <c r="K120" s="8">
        <f>IFERROR(G120/H120,"")</f>
        <v/>
      </c>
      <c r="L120" s="13">
        <f>IFERROR(J120/H120,"")</f>
        <v/>
      </c>
      <c r="M120" s="7" t="n">
        <v>70</v>
      </c>
      <c r="N120" s="19" t="n">
        <v>21.4</v>
      </c>
      <c r="O120" s="19" t="n">
        <v>145</v>
      </c>
      <c r="P120" s="7" t="n">
        <v>5</v>
      </c>
      <c r="Q120" s="5" t="inlineStr">
        <is>
          <t>2024-04-15</t>
        </is>
      </c>
      <c r="R120" s="5" t="inlineStr">
        <is>
          <t>2024-05-19</t>
        </is>
      </c>
      <c r="S120" s="5" t="inlineStr">
        <is>
          <t>멜로/로맨스,드라마</t>
        </is>
      </c>
      <c r="T120" s="5" t="inlineStr">
        <is>
          <t>한국</t>
        </is>
      </c>
      <c r="U120" s="5" t="inlineStr">
        <is>
          <t>한국영상투자개발(주),(주)싸이더스</t>
        </is>
      </c>
    </row>
    <row r="121">
      <c r="A121" s="5" t="inlineStr">
        <is>
          <t>킹덤4: 대장군의 귀환</t>
        </is>
      </c>
      <c r="B121" s="5" t="inlineStr">
        <is>
          <t>2024-11-20</t>
        </is>
      </c>
      <c r="C121" s="5" t="inlineStr">
        <is>
          <t>2024-11-20</t>
        </is>
      </c>
      <c r="D121" s="5" t="inlineStr">
        <is>
          <t>신작</t>
        </is>
      </c>
      <c r="E121" s="5" t="inlineStr">
        <is>
          <t>실사 외화</t>
        </is>
      </c>
      <c r="F121" s="5" t="inlineStr">
        <is>
          <t>종영</t>
        </is>
      </c>
      <c r="G121" s="7" t="n">
        <v>4380</v>
      </c>
      <c r="H121" s="7" t="n">
        <v>12227</v>
      </c>
      <c r="I121" s="7" t="n">
        <v>88</v>
      </c>
      <c r="J121" s="7" t="n">
        <v>862</v>
      </c>
      <c r="K121" s="8">
        <f>IFERROR(G121/H121,"")</f>
        <v/>
      </c>
      <c r="L121" s="13">
        <f>IFERROR(J121/H121,"")</f>
        <v/>
      </c>
      <c r="M121" s="7" t="n">
        <v>88</v>
      </c>
      <c r="N121" s="19" t="n">
        <v>32.1</v>
      </c>
      <c r="O121" s="19" t="n">
        <v>126</v>
      </c>
      <c r="P121" s="7" t="n">
        <v>5</v>
      </c>
      <c r="Q121" s="5" t="inlineStr">
        <is>
          <t>2024-11-11</t>
        </is>
      </c>
      <c r="R121" s="5" t="inlineStr">
        <is>
          <t>2024-12-15</t>
        </is>
      </c>
      <c r="S121" s="5" t="inlineStr">
        <is>
          <t>액션,전쟁</t>
        </is>
      </c>
      <c r="T121" s="5" t="inlineStr">
        <is>
          <t>일본</t>
        </is>
      </c>
      <c r="U121" s="5" t="inlineStr">
        <is>
          <t>와이드 릴리즈(주),(주)엠디에스스피어</t>
        </is>
      </c>
    </row>
    <row r="122">
      <c r="A122" s="5" t="inlineStr">
        <is>
          <t>여덟 번째 감각</t>
        </is>
      </c>
      <c r="B122" s="5" t="inlineStr">
        <is>
          <t>2023-03-29</t>
        </is>
      </c>
      <c r="C122" s="5" t="inlineStr">
        <is>
          <t>2023-03-29</t>
        </is>
      </c>
      <c r="D122" s="5" t="inlineStr">
        <is>
          <t>신작</t>
        </is>
      </c>
      <c r="E122" s="5" t="inlineStr">
        <is>
          <t>실사 한국</t>
        </is>
      </c>
      <c r="F122" s="5" t="inlineStr">
        <is>
          <t>종영</t>
        </is>
      </c>
      <c r="G122" s="7" t="n">
        <v>4156</v>
      </c>
      <c r="H122" s="7" t="n">
        <v>15830</v>
      </c>
      <c r="I122" s="7" t="n">
        <v>80</v>
      </c>
      <c r="J122" s="7" t="n">
        <v>1126</v>
      </c>
      <c r="K122" s="8">
        <f>IFERROR(G122/H122,"")</f>
        <v/>
      </c>
      <c r="L122" s="13">
        <f>IFERROR(J122/H122,"")</f>
        <v/>
      </c>
      <c r="M122" s="7" t="n">
        <v>79</v>
      </c>
      <c r="N122" s="19" t="n">
        <v>23</v>
      </c>
      <c r="O122" s="19" t="n">
        <v>160</v>
      </c>
      <c r="P122" s="7" t="n">
        <v>6</v>
      </c>
      <c r="Q122" s="5" t="inlineStr">
        <is>
          <t>2023-03-20</t>
        </is>
      </c>
      <c r="R122" s="5" t="inlineStr">
        <is>
          <t>2023-04-30</t>
        </is>
      </c>
      <c r="S122" s="5" t="inlineStr">
        <is>
          <t>멜로/로맨스,드라마</t>
        </is>
      </c>
      <c r="T122" s="5" t="inlineStr">
        <is>
          <t>한국</t>
        </is>
      </c>
      <c r="U122" s="5" t="inlineStr">
        <is>
          <t>(주)엠디에스스피어,(주)영화특별시에스엠씨</t>
        </is>
      </c>
    </row>
    <row r="123">
      <c r="A123" s="5" t="inlineStr">
        <is>
          <t>뒤주</t>
        </is>
      </c>
      <c r="B123" s="5" t="inlineStr">
        <is>
          <t>2024-03-28</t>
        </is>
      </c>
      <c r="C123" s="5" t="inlineStr">
        <is>
          <t>2024-03-28</t>
        </is>
      </c>
      <c r="D123" s="5" t="inlineStr">
        <is>
          <t>신작</t>
        </is>
      </c>
      <c r="E123" s="5" t="inlineStr">
        <is>
          <t>실사 한국</t>
        </is>
      </c>
      <c r="F123" s="5" t="inlineStr">
        <is>
          <t>종영</t>
        </is>
      </c>
      <c r="G123" s="7" t="n">
        <v>3855</v>
      </c>
      <c r="H123" s="7" t="n">
        <v>6846</v>
      </c>
      <c r="I123" s="7" t="n">
        <v>52</v>
      </c>
      <c r="J123" s="7" t="n">
        <v>999</v>
      </c>
      <c r="K123" s="8">
        <f>IFERROR(G123/H123,"")</f>
        <v/>
      </c>
      <c r="L123" s="13">
        <f>IFERROR(J123/H123,"")</f>
        <v/>
      </c>
      <c r="M123" s="7" t="n">
        <v>52</v>
      </c>
      <c r="N123" s="19" t="n">
        <v>14.8</v>
      </c>
      <c r="O123" s="19" t="n">
        <v>129</v>
      </c>
      <c r="P123" s="7" t="n">
        <v>4</v>
      </c>
      <c r="Q123" s="5" t="inlineStr">
        <is>
          <t>2024-03-25</t>
        </is>
      </c>
      <c r="R123" s="5" t="inlineStr">
        <is>
          <t>2024-04-21</t>
        </is>
      </c>
      <c r="S123" s="5" t="inlineStr">
        <is>
          <t>공포(호러),미스터리,스릴러</t>
        </is>
      </c>
      <c r="T123" s="5" t="inlineStr">
        <is>
          <t>한국</t>
        </is>
      </c>
      <c r="U123" s="5" t="inlineStr">
        <is>
          <t>(주)파이브데이</t>
        </is>
      </c>
    </row>
    <row r="124">
      <c r="A124" s="5" t="inlineStr">
        <is>
          <t>라라랜드</t>
        </is>
      </c>
      <c r="B124" s="5" t="inlineStr">
        <is>
          <t>2023-04-18</t>
        </is>
      </c>
      <c r="C124" s="5" t="inlineStr">
        <is>
          <t>2016-12-07</t>
        </is>
      </c>
      <c r="D124" s="5" t="inlineStr">
        <is>
          <t>재개봉/구작</t>
        </is>
      </c>
      <c r="E124" s="5" t="inlineStr">
        <is>
          <t>공연·실황</t>
        </is>
      </c>
      <c r="F124" s="5" t="inlineStr">
        <is>
          <t>종영</t>
        </is>
      </c>
      <c r="G124" s="7" t="n">
        <v>3751</v>
      </c>
      <c r="H124" s="7" t="n">
        <v>7811</v>
      </c>
      <c r="I124" s="7" t="n">
        <v>50</v>
      </c>
      <c r="J124" s="7" t="n">
        <v>875</v>
      </c>
      <c r="K124" s="8">
        <f>IFERROR(G124/H124,"")</f>
        <v/>
      </c>
      <c r="L124" s="13">
        <f>IFERROR(J124/H124,"")</f>
        <v/>
      </c>
      <c r="M124" s="7" t="n">
        <v>50</v>
      </c>
      <c r="N124" s="19" t="n">
        <v>19.2</v>
      </c>
      <c r="O124" s="19" t="n">
        <v>167</v>
      </c>
      <c r="P124" s="7" t="n">
        <v>4</v>
      </c>
      <c r="Q124" s="5" t="inlineStr">
        <is>
          <t>2023-04-03</t>
        </is>
      </c>
      <c r="R124" s="5" t="inlineStr">
        <is>
          <t>2023-04-30</t>
        </is>
      </c>
      <c r="S124" s="5" t="inlineStr">
        <is>
          <t>드라마,뮤지컬,멜로/로맨스</t>
        </is>
      </c>
      <c r="T124" s="5" t="inlineStr">
        <is>
          <t>미국</t>
        </is>
      </c>
      <c r="U124" s="5" t="inlineStr">
        <is>
          <t>판씨네마(주)</t>
        </is>
      </c>
    </row>
    <row r="125">
      <c r="A125" s="5" t="inlineStr">
        <is>
          <t>인디펜던스 나이트</t>
        </is>
      </c>
      <c r="B125" s="5" t="inlineStr">
        <is>
          <t>2023-12-13</t>
        </is>
      </c>
      <c r="C125" s="5" t="inlineStr">
        <is>
          <t>2023-12-13</t>
        </is>
      </c>
      <c r="D125" s="5" t="inlineStr">
        <is>
          <t>신작</t>
        </is>
      </c>
      <c r="E125" s="5" t="inlineStr">
        <is>
          <t>실사 외화</t>
        </is>
      </c>
      <c r="F125" s="5" t="inlineStr">
        <is>
          <t>종영</t>
        </is>
      </c>
      <c r="G125" s="7" t="n">
        <v>3688</v>
      </c>
      <c r="H125" s="7" t="n">
        <v>7381</v>
      </c>
      <c r="I125" s="7" t="n">
        <v>59</v>
      </c>
      <c r="J125" s="7" t="n">
        <v>778</v>
      </c>
      <c r="K125" s="8">
        <f>IFERROR(G125/H125,"")</f>
        <v/>
      </c>
      <c r="L125" s="13">
        <f>IFERROR(J125/H125,"")</f>
        <v/>
      </c>
      <c r="M125" s="7" t="n">
        <v>55</v>
      </c>
      <c r="N125" s="19" t="n">
        <v>30.1</v>
      </c>
      <c r="O125" s="19" t="n">
        <v>130</v>
      </c>
      <c r="P125" s="7" t="n">
        <v>2</v>
      </c>
      <c r="Q125" s="5" t="inlineStr">
        <is>
          <t>2023-12-11</t>
        </is>
      </c>
      <c r="R125" s="5" t="inlineStr">
        <is>
          <t>2023-12-24</t>
        </is>
      </c>
      <c r="S125" s="5" t="inlineStr">
        <is>
          <t>범죄,액션</t>
        </is>
      </c>
      <c r="T125" s="5" t="inlineStr">
        <is>
          <t>미국</t>
        </is>
      </c>
      <c r="U125" s="5" t="inlineStr">
        <is>
          <t>(주)디스테이션</t>
        </is>
      </c>
    </row>
    <row r="126">
      <c r="A126" s="5" t="inlineStr">
        <is>
          <t>시애틀의 잠 못이루는 밤</t>
        </is>
      </c>
      <c r="B126" s="5" t="inlineStr">
        <is>
          <t>2024-12-11</t>
        </is>
      </c>
      <c r="C126" s="5" t="inlineStr">
        <is>
          <t>1993-12-18</t>
        </is>
      </c>
      <c r="D126" s="5" t="inlineStr">
        <is>
          <t>재개봉/구작</t>
        </is>
      </c>
      <c r="E126" s="5" t="inlineStr">
        <is>
          <t>실사 외화</t>
        </is>
      </c>
      <c r="F126" s="5" t="inlineStr">
        <is>
          <t>종영</t>
        </is>
      </c>
      <c r="G126" s="7" t="n">
        <v>3521</v>
      </c>
      <c r="H126" s="7" t="n">
        <v>7134</v>
      </c>
      <c r="I126" s="7" t="n">
        <v>58</v>
      </c>
      <c r="J126" s="7" t="n">
        <v>672</v>
      </c>
      <c r="K126" s="8">
        <f>IFERROR(G126/H126,"")</f>
        <v/>
      </c>
      <c r="L126" s="13">
        <f>IFERROR(J126/H126,"")</f>
        <v/>
      </c>
      <c r="M126" s="7" t="n">
        <v>57</v>
      </c>
      <c r="N126" s="19" t="n">
        <v>42.7</v>
      </c>
      <c r="O126" s="19" t="n">
        <v>111</v>
      </c>
      <c r="P126" s="7" t="n">
        <v>3</v>
      </c>
      <c r="Q126" s="5" t="inlineStr">
        <is>
          <t>2024-12-09</t>
        </is>
      </c>
      <c r="R126" s="5" t="inlineStr">
        <is>
          <t>2024-12-29</t>
        </is>
      </c>
      <c r="S126" s="5" t="inlineStr">
        <is>
          <t>드라마,멜로/로맨스</t>
        </is>
      </c>
      <c r="T126" s="5" t="inlineStr">
        <is>
          <t>미국</t>
        </is>
      </c>
      <c r="U126" s="5" t="inlineStr">
        <is>
          <t>(주)디스테이션</t>
        </is>
      </c>
    </row>
    <row r="127">
      <c r="A127" s="5" t="inlineStr">
        <is>
          <t>2021 방탄소년단 머스터 소우주 리마스터링</t>
        </is>
      </c>
      <c r="B127" s="5" t="inlineStr">
        <is>
          <t>2025-09-23</t>
        </is>
      </c>
      <c r="C127" s="5" t="inlineStr">
        <is>
          <t>2025-09-23</t>
        </is>
      </c>
      <c r="D127" s="5" t="inlineStr">
        <is>
          <t>신작</t>
        </is>
      </c>
      <c r="E127" s="5" t="inlineStr">
        <is>
          <t>공연·실황</t>
        </is>
      </c>
      <c r="F127" s="5" t="inlineStr">
        <is>
          <t>종영</t>
        </is>
      </c>
      <c r="G127" s="7" t="n">
        <v>3404</v>
      </c>
      <c r="H127" s="7" t="n">
        <v>285</v>
      </c>
      <c r="I127" s="7" t="n">
        <v>1</v>
      </c>
      <c r="J127" s="7" t="n">
        <v>150</v>
      </c>
      <c r="K127" s="8">
        <f>IFERROR(G127/H127,"")</f>
        <v/>
      </c>
      <c r="L127" s="13">
        <f>IFERROR(J127/H127,"")</f>
        <v/>
      </c>
      <c r="M127" s="7" t="n">
        <v>74</v>
      </c>
      <c r="N127" s="19" t="n">
        <v>24.1</v>
      </c>
      <c r="O127" s="19" t="n">
        <v>126</v>
      </c>
      <c r="P127" s="7" t="n">
        <v>5</v>
      </c>
      <c r="Q127" s="5" t="inlineStr">
        <is>
          <t>2025-09-22</t>
        </is>
      </c>
      <c r="R127" s="5" t="inlineStr">
        <is>
          <t>2025-10-26</t>
        </is>
      </c>
      <c r="S127" s="5" t="inlineStr">
        <is>
          <t>공연</t>
        </is>
      </c>
      <c r="T127" s="5" t="inlineStr">
        <is>
          <t>한국</t>
        </is>
      </c>
      <c r="U127" s="5" t="inlineStr">
        <is>
          <t>메가박스중앙(주)</t>
        </is>
      </c>
    </row>
    <row r="128">
      <c r="A128" s="5" t="inlineStr">
        <is>
          <t>새비지 맨</t>
        </is>
      </c>
      <c r="B128" s="5" t="inlineStr">
        <is>
          <t>2023-01-26</t>
        </is>
      </c>
      <c r="C128" s="5" t="inlineStr">
        <is>
          <t>2023-01-26</t>
        </is>
      </c>
      <c r="D128" s="5" t="inlineStr">
        <is>
          <t>신작</t>
        </is>
      </c>
      <c r="E128" s="5" t="inlineStr">
        <is>
          <t>실사 외화</t>
        </is>
      </c>
      <c r="F128" s="5" t="inlineStr">
        <is>
          <t>종영</t>
        </is>
      </c>
      <c r="G128" s="7" t="n">
        <v>3227</v>
      </c>
      <c r="H128" s="7" t="n">
        <v>6277</v>
      </c>
      <c r="I128" s="7" t="n">
        <v>50</v>
      </c>
      <c r="J128" s="7" t="n">
        <v>1314</v>
      </c>
      <c r="K128" s="8">
        <f>IFERROR(G128/H128,"")</f>
        <v/>
      </c>
      <c r="L128" s="13">
        <f>IFERROR(J128/H128,"")</f>
        <v/>
      </c>
      <c r="M128" s="7" t="n">
        <v>50</v>
      </c>
      <c r="N128" s="19" t="n">
        <v>8.5</v>
      </c>
      <c r="O128" s="19" t="n">
        <v>133</v>
      </c>
      <c r="P128" s="7" t="n">
        <v>3</v>
      </c>
      <c r="Q128" s="5" t="inlineStr">
        <is>
          <t>2023-01-23</t>
        </is>
      </c>
      <c r="R128" s="5" t="inlineStr">
        <is>
          <t>2023-02-12</t>
        </is>
      </c>
      <c r="S128" s="5" t="inlineStr">
        <is>
          <t>액션,스릴러</t>
        </is>
      </c>
      <c r="T128" s="5" t="inlineStr">
        <is>
          <t>미국</t>
        </is>
      </c>
      <c r="U128" s="5" t="inlineStr">
        <is>
          <t>주식회사 디에스이이디</t>
        </is>
      </c>
    </row>
    <row r="129">
      <c r="A129" s="5" t="inlineStr">
        <is>
          <t>숀더쉽 더 무비: 꼬마 외계인 룰라!</t>
        </is>
      </c>
      <c r="B129" s="5" t="inlineStr">
        <is>
          <t>2024-02-08</t>
        </is>
      </c>
      <c r="C129" s="5" t="inlineStr">
        <is>
          <t>2020-02-19</t>
        </is>
      </c>
      <c r="D129" s="5" t="inlineStr">
        <is>
          <t>재개봉/구작</t>
        </is>
      </c>
      <c r="E129" s="5" t="inlineStr">
        <is>
          <t>애니메이션</t>
        </is>
      </c>
      <c r="F129" s="5" t="inlineStr">
        <is>
          <t>종영</t>
        </is>
      </c>
      <c r="G129" s="7" t="n">
        <v>3210</v>
      </c>
      <c r="H129" s="7" t="n">
        <v>5400</v>
      </c>
      <c r="I129" s="7" t="n">
        <v>43</v>
      </c>
      <c r="J129" s="7" t="n">
        <v>143</v>
      </c>
      <c r="K129" s="8">
        <f>IFERROR(G129/H129,"")</f>
        <v/>
      </c>
      <c r="L129" s="13">
        <f>IFERROR(J129/H129,"")</f>
        <v/>
      </c>
      <c r="M129" s="7" t="n">
        <v>50</v>
      </c>
      <c r="N129" s="19" t="n">
        <v>23</v>
      </c>
      <c r="O129" s="19" t="n">
        <v>115</v>
      </c>
      <c r="P129" s="7" t="n">
        <v>3</v>
      </c>
      <c r="Q129" s="5" t="inlineStr">
        <is>
          <t>2024-02-05</t>
        </is>
      </c>
      <c r="R129" s="5" t="inlineStr">
        <is>
          <t>2024-02-25</t>
        </is>
      </c>
      <c r="S129" s="5" t="inlineStr">
        <is>
          <t>애니메이션,어드벤처,코미디</t>
        </is>
      </c>
      <c r="T129" s="5" t="inlineStr">
        <is>
          <t>영국</t>
        </is>
      </c>
      <c r="U129" s="5" t="inlineStr">
        <is>
          <t>TCO(주)더콘텐츠온</t>
        </is>
      </c>
    </row>
    <row r="130">
      <c r="A130" s="5" t="inlineStr">
        <is>
          <t>언더닌자</t>
        </is>
      </c>
      <c r="B130" s="5" t="inlineStr">
        <is>
          <t>2026-02-05</t>
        </is>
      </c>
      <c r="C130" s="5" t="inlineStr">
        <is>
          <t>2026-02-05</t>
        </is>
      </c>
      <c r="D130" s="5" t="inlineStr">
        <is>
          <t>신작</t>
        </is>
      </c>
      <c r="E130" s="5" t="inlineStr">
        <is>
          <t>실사 외화</t>
        </is>
      </c>
      <c r="F130" s="5" t="inlineStr">
        <is>
          <t>종영</t>
        </is>
      </c>
      <c r="G130" s="7" t="n">
        <v>3191</v>
      </c>
      <c r="H130" s="7" t="n">
        <v>8792</v>
      </c>
      <c r="I130" s="7" t="n">
        <v>65</v>
      </c>
      <c r="J130" s="7" t="n">
        <v>853</v>
      </c>
      <c r="K130" s="8">
        <f>IFERROR(G130/H130,"")</f>
        <v/>
      </c>
      <c r="L130" s="13">
        <f>IFERROR(J130/H130,"")</f>
        <v/>
      </c>
      <c r="M130" s="7" t="n">
        <v>65</v>
      </c>
      <c r="N130" s="19" t="n">
        <v>19.3</v>
      </c>
      <c r="O130" s="19" t="n">
        <v>123</v>
      </c>
      <c r="P130" s="7" t="n">
        <v>4</v>
      </c>
      <c r="Q130" s="5" t="inlineStr">
        <is>
          <t>2026-02-02</t>
        </is>
      </c>
      <c r="R130" s="5" t="inlineStr">
        <is>
          <t>2026-03-01</t>
        </is>
      </c>
      <c r="S130" s="5" t="inlineStr">
        <is>
          <t>드라마,코미디,액션</t>
        </is>
      </c>
      <c r="T130" s="5" t="inlineStr">
        <is>
          <t>일본</t>
        </is>
      </c>
      <c r="U130" s="5" t="inlineStr">
        <is>
          <t>메가박스중앙(주),㈜T-JOY</t>
        </is>
      </c>
    </row>
    <row r="131">
      <c r="A131" s="5" t="inlineStr">
        <is>
          <t>원 웨이</t>
        </is>
      </c>
      <c r="B131" s="5" t="inlineStr">
        <is>
          <t>2023-02-09</t>
        </is>
      </c>
      <c r="C131" s="5" t="inlineStr">
        <is>
          <t>2023-02-09</t>
        </is>
      </c>
      <c r="D131" s="5" t="inlineStr">
        <is>
          <t>신작</t>
        </is>
      </c>
      <c r="E131" s="5" t="inlineStr">
        <is>
          <t>실사 외화</t>
        </is>
      </c>
      <c r="F131" s="5" t="inlineStr">
        <is>
          <t>종영</t>
        </is>
      </c>
      <c r="G131" s="7" t="n">
        <v>3176</v>
      </c>
      <c r="H131" s="7" t="n">
        <v>6823</v>
      </c>
      <c r="I131" s="7" t="n">
        <v>50</v>
      </c>
      <c r="J131" s="7" t="n">
        <v>1372</v>
      </c>
      <c r="K131" s="8">
        <f>IFERROR(G131/H131,"")</f>
        <v/>
      </c>
      <c r="L131" s="13">
        <f>IFERROR(J131/H131,"")</f>
        <v/>
      </c>
      <c r="M131" s="7" t="n">
        <v>50</v>
      </c>
      <c r="N131" s="19" t="n">
        <v>8.199999999999999</v>
      </c>
      <c r="O131" s="19" t="n">
        <v>135</v>
      </c>
      <c r="P131" s="7" t="n">
        <v>3</v>
      </c>
      <c r="Q131" s="5" t="inlineStr">
        <is>
          <t>2023-02-06</t>
        </is>
      </c>
      <c r="R131" s="5" t="inlineStr">
        <is>
          <t>2023-02-26</t>
        </is>
      </c>
      <c r="S131" s="5" t="inlineStr">
        <is>
          <t>액션</t>
        </is>
      </c>
      <c r="T131" s="5" t="inlineStr">
        <is>
          <t>미국</t>
        </is>
      </c>
      <c r="U131" s="5" t="inlineStr">
        <is>
          <t>주식회사 블루필름웍스</t>
        </is>
      </c>
    </row>
    <row r="132">
      <c r="A132" s="5" t="inlineStr">
        <is>
          <t>울프 하운드</t>
        </is>
      </c>
      <c r="B132" s="5" t="inlineStr">
        <is>
          <t>2023-02-09</t>
        </is>
      </c>
      <c r="C132" s="5" t="inlineStr">
        <is>
          <t>2023-02-09</t>
        </is>
      </c>
      <c r="D132" s="5" t="inlineStr">
        <is>
          <t>신작</t>
        </is>
      </c>
      <c r="E132" s="5" t="inlineStr">
        <is>
          <t>실사 외화</t>
        </is>
      </c>
      <c r="F132" s="5" t="inlineStr">
        <is>
          <t>종영</t>
        </is>
      </c>
      <c r="G132" s="7" t="n">
        <v>3043</v>
      </c>
      <c r="H132" s="7" t="n">
        <v>6545</v>
      </c>
      <c r="I132" s="7" t="n">
        <v>50</v>
      </c>
      <c r="J132" s="7" t="n">
        <v>1286</v>
      </c>
      <c r="K132" s="8">
        <f>IFERROR(G132/H132,"")</f>
        <v/>
      </c>
      <c r="L132" s="13">
        <f>IFERROR(J132/H132,"")</f>
        <v/>
      </c>
      <c r="M132" s="7" t="n">
        <v>50</v>
      </c>
      <c r="N132" s="19" t="n">
        <v>10.7</v>
      </c>
      <c r="O132" s="19" t="n">
        <v>132</v>
      </c>
      <c r="P132" s="7" t="n">
        <v>4</v>
      </c>
      <c r="Q132" s="5" t="inlineStr">
        <is>
          <t>2023-02-06</t>
        </is>
      </c>
      <c r="R132" s="5" t="inlineStr">
        <is>
          <t>2023-03-05</t>
        </is>
      </c>
      <c r="S132" s="5" t="inlineStr">
        <is>
          <t>액션,전쟁</t>
        </is>
      </c>
      <c r="T132" s="5" t="inlineStr">
        <is>
          <t>미국</t>
        </is>
      </c>
      <c r="U132" s="5" t="inlineStr">
        <is>
          <t>주식회사 풍경소리</t>
        </is>
      </c>
    </row>
    <row r="133">
      <c r="A133" s="5" t="inlineStr">
        <is>
          <t>잠자는 바보</t>
        </is>
      </c>
      <c r="B133" s="5" t="inlineStr">
        <is>
          <t>2025-09-10</t>
        </is>
      </c>
      <c r="C133" s="5" t="inlineStr">
        <is>
          <t>2025-09-10</t>
        </is>
      </c>
      <c r="D133" s="5" t="inlineStr">
        <is>
          <t>신작</t>
        </is>
      </c>
      <c r="E133" s="5" t="inlineStr">
        <is>
          <t>실사 외화</t>
        </is>
      </c>
      <c r="F133" s="5" t="inlineStr">
        <is>
          <t>종영</t>
        </is>
      </c>
      <c r="G133" s="7" t="n">
        <v>3043</v>
      </c>
      <c r="H133" s="7" t="n">
        <v>21549</v>
      </c>
      <c r="I133" s="7" t="n">
        <v>110</v>
      </c>
      <c r="J133" s="7" t="n">
        <v>540</v>
      </c>
      <c r="K133" s="8">
        <f>IFERROR(G133/H133,"")</f>
        <v/>
      </c>
      <c r="L133" s="13">
        <f>IFERROR(J133/H133,"")</f>
        <v/>
      </c>
      <c r="M133" s="7" t="n">
        <v>110</v>
      </c>
      <c r="N133" s="19" t="n">
        <v>30.5</v>
      </c>
      <c r="O133" s="19" t="n">
        <v>145</v>
      </c>
      <c r="P133" s="7" t="n">
        <v>5</v>
      </c>
      <c r="Q133" s="5" t="inlineStr">
        <is>
          <t>2025-09-01</t>
        </is>
      </c>
      <c r="R133" s="5" t="inlineStr">
        <is>
          <t>2025-10-05</t>
        </is>
      </c>
      <c r="S133" s="5" t="inlineStr">
        <is>
          <t>드라마</t>
        </is>
      </c>
      <c r="T133" s="5" t="inlineStr">
        <is>
          <t>일본</t>
        </is>
      </c>
      <c r="U133" s="5" t="inlineStr">
        <is>
          <t>메가박스중앙(주)</t>
        </is>
      </c>
    </row>
    <row r="134">
      <c r="A134" s="5" t="inlineStr">
        <is>
          <t>아이언맨 2</t>
        </is>
      </c>
      <c r="B134" s="5" t="inlineStr">
        <is>
          <t>2024-10-09</t>
        </is>
      </c>
      <c r="C134" s="5" t="inlineStr">
        <is>
          <t>2010-04-29</t>
        </is>
      </c>
      <c r="D134" s="5" t="inlineStr">
        <is>
          <t>재개봉/구작</t>
        </is>
      </c>
      <c r="E134" s="5" t="inlineStr">
        <is>
          <t>실사 외화</t>
        </is>
      </c>
      <c r="F134" s="5" t="inlineStr">
        <is>
          <t>종영</t>
        </is>
      </c>
      <c r="G134" s="7" t="n">
        <v>2935</v>
      </c>
      <c r="H134" s="7" t="n">
        <v>16210</v>
      </c>
      <c r="I134" s="7" t="n">
        <v>81</v>
      </c>
      <c r="J134" s="7" t="n">
        <v>893</v>
      </c>
      <c r="K134" s="8">
        <f>IFERROR(G134/H134,"")</f>
        <v/>
      </c>
      <c r="L134" s="13">
        <f>IFERROR(J134/H134,"")</f>
        <v/>
      </c>
      <c r="M134" s="7" t="n">
        <v>81</v>
      </c>
      <c r="N134" s="19" t="n">
        <v>40.1</v>
      </c>
      <c r="O134" s="19" t="n">
        <v>175</v>
      </c>
      <c r="P134" s="7" t="n">
        <v>3</v>
      </c>
      <c r="Q134" s="5" t="inlineStr">
        <is>
          <t>2024-10-07</t>
        </is>
      </c>
      <c r="R134" s="5" t="inlineStr">
        <is>
          <t>2024-10-27</t>
        </is>
      </c>
      <c r="S134" s="5" t="inlineStr">
        <is>
          <t>SF,액션,어드벤처</t>
        </is>
      </c>
      <c r="T134" s="5" t="inlineStr">
        <is>
          <t>미국</t>
        </is>
      </c>
      <c r="U134" s="5" t="inlineStr">
        <is>
          <t>씨제이엔터테인먼트</t>
        </is>
      </c>
    </row>
    <row r="135">
      <c r="A135" s="5" t="inlineStr">
        <is>
          <t>가을의 전설</t>
        </is>
      </c>
      <c r="B135" s="5" t="inlineStr">
        <is>
          <t>2024-11-27</t>
        </is>
      </c>
      <c r="C135" s="5" t="inlineStr">
        <is>
          <t>1995-03-18</t>
        </is>
      </c>
      <c r="D135" s="5" t="inlineStr">
        <is>
          <t>재개봉/구작</t>
        </is>
      </c>
      <c r="E135" s="5" t="inlineStr">
        <is>
          <t>실사 외화</t>
        </is>
      </c>
      <c r="F135" s="5" t="inlineStr">
        <is>
          <t>종영</t>
        </is>
      </c>
      <c r="G135" s="7" t="n">
        <v>2609</v>
      </c>
      <c r="H135" s="7" t="n">
        <v>12181</v>
      </c>
      <c r="I135" s="7" t="n">
        <v>66</v>
      </c>
      <c r="J135" s="7" t="n">
        <v>548</v>
      </c>
      <c r="K135" s="8">
        <f>IFERROR(G135/H135,"")</f>
        <v/>
      </c>
      <c r="L135" s="13">
        <f>IFERROR(J135/H135,"")</f>
        <v/>
      </c>
      <c r="M135" s="7" t="n">
        <v>65</v>
      </c>
      <c r="N135" s="19" t="n">
        <v>45.9</v>
      </c>
      <c r="O135" s="19" t="n">
        <v>145</v>
      </c>
      <c r="P135" s="7" t="n">
        <v>3</v>
      </c>
      <c r="Q135" s="5" t="inlineStr">
        <is>
          <t>2024-11-25</t>
        </is>
      </c>
      <c r="R135" s="5" t="inlineStr">
        <is>
          <t>2024-12-15</t>
        </is>
      </c>
      <c r="S135" s="5" t="inlineStr">
        <is>
          <t>멜로/로맨스</t>
        </is>
      </c>
      <c r="T135" s="5" t="inlineStr">
        <is>
          <t>미국</t>
        </is>
      </c>
      <c r="U135" s="5" t="inlineStr">
        <is>
          <t>워터홀컴퍼니(주)</t>
        </is>
      </c>
    </row>
    <row r="136">
      <c r="A136" s="5" t="inlineStr">
        <is>
          <t>퓨리</t>
        </is>
      </c>
      <c r="B136" s="5" t="inlineStr">
        <is>
          <t>2024-12-11</t>
        </is>
      </c>
      <c r="C136" s="5" t="inlineStr">
        <is>
          <t>2014-11-20</t>
        </is>
      </c>
      <c r="D136" s="5" t="inlineStr">
        <is>
          <t>재개봉/구작</t>
        </is>
      </c>
      <c r="E136" s="5" t="inlineStr">
        <is>
          <t>실사 외화</t>
        </is>
      </c>
      <c r="F136" s="5" t="inlineStr">
        <is>
          <t>종영</t>
        </is>
      </c>
      <c r="G136" s="7" t="n">
        <v>2538</v>
      </c>
      <c r="H136" s="7" t="n">
        <v>7118</v>
      </c>
      <c r="I136" s="7" t="n">
        <v>53</v>
      </c>
      <c r="J136" s="7" t="n">
        <v>477</v>
      </c>
      <c r="K136" s="8">
        <f>IFERROR(G136/H136,"")</f>
        <v/>
      </c>
      <c r="L136" s="13">
        <f>IFERROR(J136/H136,"")</f>
        <v/>
      </c>
      <c r="M136" s="7" t="n">
        <v>53</v>
      </c>
      <c r="N136" s="19" t="n">
        <v>42.4</v>
      </c>
      <c r="O136" s="19" t="n">
        <v>121</v>
      </c>
      <c r="P136" s="7" t="n">
        <v>3</v>
      </c>
      <c r="Q136" s="5" t="inlineStr">
        <is>
          <t>2024-12-09</t>
        </is>
      </c>
      <c r="R136" s="5" t="inlineStr">
        <is>
          <t>2024-12-29</t>
        </is>
      </c>
      <c r="S136" s="5" t="inlineStr">
        <is>
          <t>액션,드라마,전쟁</t>
        </is>
      </c>
      <c r="T136" s="5" t="inlineStr">
        <is>
          <t>미국</t>
        </is>
      </c>
      <c r="U136" s="5" t="inlineStr">
        <is>
          <t>소니픽쳐스릴리징월트디즈니스튜디오스코리아(주)</t>
        </is>
      </c>
    </row>
    <row r="137">
      <c r="A137" s="5" t="inlineStr">
        <is>
          <t>아이들</t>
        </is>
      </c>
      <c r="B137" s="5" t="inlineStr">
        <is>
          <t>2025-12-17</t>
        </is>
      </c>
      <c r="C137" s="5" t="inlineStr"/>
      <c r="D137" s="5" t="inlineStr">
        <is>
          <t>재개봉/구작</t>
        </is>
      </c>
      <c r="E137" s="5" t="inlineStr">
        <is>
          <t>실사 한국</t>
        </is>
      </c>
      <c r="F137" s="5" t="inlineStr">
        <is>
          <t>종영</t>
        </is>
      </c>
      <c r="G137" s="7" t="n">
        <v>2195</v>
      </c>
      <c r="H137" s="7" t="n">
        <v>8572</v>
      </c>
      <c r="I137" s="7" t="n">
        <v>69</v>
      </c>
      <c r="J137" s="7" t="n">
        <v>306</v>
      </c>
      <c r="K137" s="8">
        <f>IFERROR(G137/H137,"")</f>
        <v/>
      </c>
      <c r="L137" s="13">
        <f>IFERROR(J137/H137,"")</f>
        <v/>
      </c>
      <c r="M137" s="7" t="n">
        <v>69</v>
      </c>
      <c r="N137" s="19" t="n">
        <v>30.4</v>
      </c>
      <c r="O137" s="19" t="n">
        <v>112</v>
      </c>
      <c r="P137" s="7" t="n">
        <v>5</v>
      </c>
      <c r="Q137" s="5" t="inlineStr">
        <is>
          <t>2025-12-15</t>
        </is>
      </c>
      <c r="R137" s="5" t="inlineStr">
        <is>
          <t>2026-01-18</t>
        </is>
      </c>
      <c r="S137" s="5" t="inlineStr">
        <is>
          <t>드라마</t>
        </is>
      </c>
      <c r="T137" s="5" t="inlineStr">
        <is>
          <t>한국</t>
        </is>
      </c>
      <c r="U137" s="5" t="inlineStr">
        <is>
          <t>㈜인디스토리</t>
        </is>
      </c>
    </row>
    <row r="138">
      <c r="A138" s="5" t="inlineStr">
        <is>
          <t>10일간의 애인</t>
        </is>
      </c>
      <c r="B138" s="5" t="inlineStr">
        <is>
          <t>2023-01-12</t>
        </is>
      </c>
      <c r="C138" s="5" t="inlineStr">
        <is>
          <t>2023-01-12</t>
        </is>
      </c>
      <c r="D138" s="5" t="inlineStr">
        <is>
          <t>신작</t>
        </is>
      </c>
      <c r="E138" s="5" t="inlineStr">
        <is>
          <t>실사 한국</t>
        </is>
      </c>
      <c r="F138" s="5" t="inlineStr">
        <is>
          <t>종영</t>
        </is>
      </c>
      <c r="G138" s="7" t="n">
        <v>2118</v>
      </c>
      <c r="H138" s="7" t="n">
        <v>6364</v>
      </c>
      <c r="I138" s="7" t="n">
        <v>50</v>
      </c>
      <c r="J138" s="7" t="n">
        <v>826</v>
      </c>
      <c r="K138" s="8">
        <f>IFERROR(G138/H138,"")</f>
        <v/>
      </c>
      <c r="L138" s="13">
        <f>IFERROR(J138/H138,"")</f>
        <v/>
      </c>
      <c r="M138" s="7" t="n">
        <v>50</v>
      </c>
      <c r="N138" s="19" t="n">
        <v>8.199999999999999</v>
      </c>
      <c r="O138" s="19" t="n">
        <v>138</v>
      </c>
      <c r="P138" s="7" t="n">
        <v>3</v>
      </c>
      <c r="Q138" s="5" t="inlineStr">
        <is>
          <t>2023-01-09</t>
        </is>
      </c>
      <c r="R138" s="5" t="inlineStr">
        <is>
          <t>2023-01-29</t>
        </is>
      </c>
      <c r="S138" s="5" t="inlineStr">
        <is>
          <t>멜로/로맨스</t>
        </is>
      </c>
      <c r="T138" s="5" t="inlineStr">
        <is>
          <t>한국</t>
        </is>
      </c>
      <c r="U138" s="5" t="inlineStr">
        <is>
          <t>(주)그노스</t>
        </is>
      </c>
    </row>
    <row r="139">
      <c r="A139" s="5" t="inlineStr">
        <is>
          <t>안경</t>
        </is>
      </c>
      <c r="B139" s="5" t="inlineStr">
        <is>
          <t>2025-06-11</t>
        </is>
      </c>
      <c r="C139" s="5" t="inlineStr">
        <is>
          <t>2007-11-29</t>
        </is>
      </c>
      <c r="D139" s="5" t="inlineStr">
        <is>
          <t>재개봉/구작</t>
        </is>
      </c>
      <c r="E139" s="5" t="inlineStr">
        <is>
          <t>실사 외화</t>
        </is>
      </c>
      <c r="F139" s="5" t="inlineStr">
        <is>
          <t>종영</t>
        </is>
      </c>
      <c r="G139" s="7" t="n">
        <v>2098</v>
      </c>
      <c r="H139" s="7" t="n">
        <v>8418</v>
      </c>
      <c r="I139" s="7" t="n">
        <v>50</v>
      </c>
      <c r="J139" s="7" t="n">
        <v>296</v>
      </c>
      <c r="K139" s="8">
        <f>IFERROR(G139/H139,"")</f>
        <v/>
      </c>
      <c r="L139" s="13">
        <f>IFERROR(J139/H139,"")</f>
        <v/>
      </c>
      <c r="M139" s="7" t="n">
        <v>50</v>
      </c>
      <c r="N139" s="19" t="n">
        <v>18.6</v>
      </c>
      <c r="O139" s="19" t="n">
        <v>134</v>
      </c>
      <c r="P139" s="7" t="n">
        <v>6</v>
      </c>
      <c r="Q139" s="5" t="inlineStr">
        <is>
          <t>2025-06-09</t>
        </is>
      </c>
      <c r="R139" s="5" t="inlineStr">
        <is>
          <t>2025-07-20</t>
        </is>
      </c>
      <c r="S139" s="5" t="inlineStr">
        <is>
          <t>드라마,코미디</t>
        </is>
      </c>
      <c r="T139" s="5" t="inlineStr">
        <is>
          <t>일본</t>
        </is>
      </c>
      <c r="U139" s="5" t="inlineStr">
        <is>
          <t>(주)디스테이션,스폰지</t>
        </is>
      </c>
    </row>
    <row r="140">
      <c r="A140" s="5" t="inlineStr">
        <is>
          <t>파라노이드 키드</t>
        </is>
      </c>
      <c r="B140" s="5" t="inlineStr">
        <is>
          <t>2025-06-11</t>
        </is>
      </c>
      <c r="C140" s="5" t="inlineStr"/>
      <c r="D140" s="5" t="inlineStr">
        <is>
          <t>재개봉/구작</t>
        </is>
      </c>
      <c r="E140" s="5" t="inlineStr">
        <is>
          <t>애니메이션</t>
        </is>
      </c>
      <c r="F140" s="5" t="inlineStr">
        <is>
          <t>종영</t>
        </is>
      </c>
      <c r="G140" s="7" t="n">
        <v>2098</v>
      </c>
      <c r="H140" s="7" t="n">
        <v>8418</v>
      </c>
      <c r="I140" s="7" t="n">
        <v>50</v>
      </c>
      <c r="J140" s="7" t="n">
        <v>296</v>
      </c>
      <c r="K140" s="8">
        <f>IFERROR(G140/H140,"")</f>
        <v/>
      </c>
      <c r="L140" s="13">
        <f>IFERROR(J140/H140,"")</f>
        <v/>
      </c>
      <c r="M140" s="7" t="n">
        <v>50</v>
      </c>
      <c r="N140" s="19" t="n">
        <v>18.6</v>
      </c>
      <c r="O140" s="19" t="n">
        <v>134</v>
      </c>
      <c r="P140" s="7" t="n">
        <v>6</v>
      </c>
      <c r="Q140" s="5" t="inlineStr">
        <is>
          <t>2025-06-09</t>
        </is>
      </c>
      <c r="R140" s="5" t="inlineStr">
        <is>
          <t>2025-07-20</t>
        </is>
      </c>
      <c r="S140" s="5" t="inlineStr">
        <is>
          <t>애니메이션</t>
        </is>
      </c>
      <c r="T140" s="5" t="inlineStr">
        <is>
          <t>한국</t>
        </is>
      </c>
      <c r="U140" s="5" t="inlineStr"/>
    </row>
    <row r="141">
      <c r="A141" s="5" t="inlineStr">
        <is>
          <t>울브스 오브 워</t>
        </is>
      </c>
      <c r="B141" s="5" t="inlineStr">
        <is>
          <t>2023-01-26</t>
        </is>
      </c>
      <c r="C141" s="5" t="inlineStr">
        <is>
          <t>2023-01-26</t>
        </is>
      </c>
      <c r="D141" s="5" t="inlineStr">
        <is>
          <t>신작</t>
        </is>
      </c>
      <c r="E141" s="5" t="inlineStr">
        <is>
          <t>실사 외화</t>
        </is>
      </c>
      <c r="F141" s="5" t="inlineStr">
        <is>
          <t>종영</t>
        </is>
      </c>
      <c r="G141" s="7" t="n">
        <v>2025</v>
      </c>
      <c r="H141" s="7" t="n">
        <v>6401</v>
      </c>
      <c r="I141" s="7" t="n">
        <v>50</v>
      </c>
      <c r="J141" s="7" t="n">
        <v>757</v>
      </c>
      <c r="K141" s="8">
        <f>IFERROR(G141/H141,"")</f>
        <v/>
      </c>
      <c r="L141" s="13">
        <f>IFERROR(J141/H141,"")</f>
        <v/>
      </c>
      <c r="M141" s="7" t="n">
        <v>50</v>
      </c>
      <c r="N141" s="19" t="n">
        <v>8.199999999999999</v>
      </c>
      <c r="O141" s="19" t="n">
        <v>138</v>
      </c>
      <c r="P141" s="7" t="n">
        <v>3</v>
      </c>
      <c r="Q141" s="5" t="inlineStr">
        <is>
          <t>2023-01-23</t>
        </is>
      </c>
      <c r="R141" s="5" t="inlineStr">
        <is>
          <t>2023-02-12</t>
        </is>
      </c>
      <c r="S141" s="5" t="inlineStr">
        <is>
          <t>액션,스릴러,전쟁</t>
        </is>
      </c>
      <c r="T141" s="5" t="inlineStr">
        <is>
          <t>영국</t>
        </is>
      </c>
      <c r="U141" s="5" t="inlineStr">
        <is>
          <t>(주)누리픽쳐스</t>
        </is>
      </c>
    </row>
    <row r="142">
      <c r="A142" s="5" t="inlineStr">
        <is>
          <t>열화청춘 리마스터링</t>
        </is>
      </c>
      <c r="B142" s="5" t="inlineStr">
        <is>
          <t>2025-03-31</t>
        </is>
      </c>
      <c r="C142" s="5" t="inlineStr">
        <is>
          <t>2025-03-31</t>
        </is>
      </c>
      <c r="D142" s="5" t="inlineStr">
        <is>
          <t>신작</t>
        </is>
      </c>
      <c r="E142" s="5" t="inlineStr">
        <is>
          <t>실사 외화</t>
        </is>
      </c>
      <c r="F142" s="5" t="inlineStr">
        <is>
          <t>종영</t>
        </is>
      </c>
      <c r="G142" s="7" t="n">
        <v>1932</v>
      </c>
      <c r="H142" s="7" t="n">
        <v>6528</v>
      </c>
      <c r="I142" s="7" t="n">
        <v>52</v>
      </c>
      <c r="J142" s="7" t="n">
        <v>369</v>
      </c>
      <c r="K142" s="8">
        <f>IFERROR(G142/H142,"")</f>
        <v/>
      </c>
      <c r="L142" s="13">
        <f>IFERROR(J142/H142,"")</f>
        <v/>
      </c>
      <c r="M142" s="7" t="n">
        <v>52</v>
      </c>
      <c r="N142" s="19" t="n">
        <v>21.7</v>
      </c>
      <c r="O142" s="19" t="n">
        <v>120</v>
      </c>
      <c r="P142" s="7" t="n">
        <v>4</v>
      </c>
      <c r="Q142" s="5" t="inlineStr">
        <is>
          <t>2025-03-31</t>
        </is>
      </c>
      <c r="R142" s="5" t="inlineStr">
        <is>
          <t>2025-04-27</t>
        </is>
      </c>
      <c r="S142" s="5" t="inlineStr">
        <is>
          <t>드라마,멜로/로맨스</t>
        </is>
      </c>
      <c r="T142" s="5" t="inlineStr">
        <is>
          <t>홍콩</t>
        </is>
      </c>
      <c r="U142" s="5" t="inlineStr">
        <is>
          <t>(주)디스테이션</t>
        </is>
      </c>
    </row>
    <row r="143">
      <c r="A143" s="5" t="inlineStr">
        <is>
          <t>지옥: 두개의 삶</t>
        </is>
      </c>
      <c r="B143" s="5" t="inlineStr">
        <is>
          <t>2025-09-17</t>
        </is>
      </c>
      <c r="C143" s="5" t="inlineStr"/>
      <c r="D143" s="5" t="inlineStr">
        <is>
          <t>재개봉/구작</t>
        </is>
      </c>
      <c r="E143" s="5" t="inlineStr">
        <is>
          <t>애니메이션</t>
        </is>
      </c>
      <c r="F143" s="5" t="inlineStr">
        <is>
          <t>종영</t>
        </is>
      </c>
      <c r="G143" s="7" t="n">
        <v>1860</v>
      </c>
      <c r="H143" s="7" t="n">
        <v>8610</v>
      </c>
      <c r="I143" s="7" t="n">
        <v>64</v>
      </c>
      <c r="J143" s="7" t="n">
        <v>341</v>
      </c>
      <c r="K143" s="8">
        <f>IFERROR(G143/H143,"")</f>
        <v/>
      </c>
      <c r="L143" s="13">
        <f>IFERROR(J143/H143,"")</f>
        <v/>
      </c>
      <c r="M143" s="7" t="n">
        <v>64</v>
      </c>
      <c r="N143" s="19" t="n">
        <v>26.5</v>
      </c>
      <c r="O143" s="19" t="n">
        <v>118</v>
      </c>
      <c r="P143" s="7" t="n">
        <v>5</v>
      </c>
      <c r="Q143" s="5" t="inlineStr">
        <is>
          <t>2025-09-15</t>
        </is>
      </c>
      <c r="R143" s="5" t="inlineStr">
        <is>
          <t>2025-10-19</t>
        </is>
      </c>
      <c r="S143" s="5" t="inlineStr">
        <is>
          <t>애니메이션,판타지,공포(호러)</t>
        </is>
      </c>
      <c r="T143" s="5" t="inlineStr">
        <is>
          <t>한국</t>
        </is>
      </c>
      <c r="U143" s="5" t="inlineStr">
        <is>
          <t>㈜인디스토리</t>
        </is>
      </c>
    </row>
    <row r="144">
      <c r="A144" s="5" t="inlineStr">
        <is>
          <t>나만의 비밀</t>
        </is>
      </c>
      <c r="B144" s="5" t="inlineStr">
        <is>
          <t>2026-01-21</t>
        </is>
      </c>
      <c r="C144" s="5" t="inlineStr">
        <is>
          <t>2026-01-21</t>
        </is>
      </c>
      <c r="D144" s="5" t="inlineStr">
        <is>
          <t>신작</t>
        </is>
      </c>
      <c r="E144" s="5" t="inlineStr">
        <is>
          <t>실사 외화</t>
        </is>
      </c>
      <c r="F144" s="5" t="inlineStr">
        <is>
          <t>종영</t>
        </is>
      </c>
      <c r="G144" s="7" t="n">
        <v>1821</v>
      </c>
      <c r="H144" s="7" t="n">
        <v>13065</v>
      </c>
      <c r="I144" s="7" t="n">
        <v>80</v>
      </c>
      <c r="J144" s="7" t="n">
        <v>311</v>
      </c>
      <c r="K144" s="8">
        <f>IFERROR(G144/H144,"")</f>
        <v/>
      </c>
      <c r="L144" s="13">
        <f>IFERROR(J144/H144,"")</f>
        <v/>
      </c>
      <c r="M144" s="7" t="n">
        <v>78</v>
      </c>
      <c r="N144" s="19" t="n">
        <v>28.8</v>
      </c>
      <c r="O144" s="19" t="n">
        <v>130</v>
      </c>
      <c r="P144" s="7" t="n">
        <v>5</v>
      </c>
      <c r="Q144" s="5" t="inlineStr">
        <is>
          <t>2026-01-19</t>
        </is>
      </c>
      <c r="R144" s="5" t="inlineStr">
        <is>
          <t>2026-02-22</t>
        </is>
      </c>
      <c r="S144" s="5" t="inlineStr">
        <is>
          <t>드라마</t>
        </is>
      </c>
      <c r="T144" s="5" t="inlineStr">
        <is>
          <t>일본</t>
        </is>
      </c>
      <c r="U144" s="5" t="inlineStr">
        <is>
          <t>(주)누리픽쳐스</t>
        </is>
      </c>
    </row>
    <row r="145">
      <c r="A145" s="5" t="inlineStr">
        <is>
          <t>신 울트라맨</t>
        </is>
      </c>
      <c r="B145" s="5" t="inlineStr">
        <is>
          <t>2023-12-06</t>
        </is>
      </c>
      <c r="C145" s="5" t="inlineStr">
        <is>
          <t>2023-12-06</t>
        </is>
      </c>
      <c r="D145" s="5" t="inlineStr">
        <is>
          <t>신작</t>
        </is>
      </c>
      <c r="E145" s="5" t="inlineStr">
        <is>
          <t>실사 외화</t>
        </is>
      </c>
      <c r="F145" s="5" t="inlineStr">
        <is>
          <t>종영</t>
        </is>
      </c>
      <c r="G145" s="7" t="n">
        <v>1721</v>
      </c>
      <c r="H145" s="7" t="n">
        <v>7283</v>
      </c>
      <c r="I145" s="7" t="n">
        <v>53</v>
      </c>
      <c r="J145" s="7" t="n">
        <v>269</v>
      </c>
      <c r="K145" s="8">
        <f>IFERROR(G145/H145,"")</f>
        <v/>
      </c>
      <c r="L145" s="13">
        <f>IFERROR(J145/H145,"")</f>
        <v/>
      </c>
      <c r="M145" s="7" t="n">
        <v>53</v>
      </c>
      <c r="N145" s="19" t="n">
        <v>24.9</v>
      </c>
      <c r="O145" s="19" t="n">
        <v>122</v>
      </c>
      <c r="P145" s="7" t="n">
        <v>3</v>
      </c>
      <c r="Q145" s="5" t="inlineStr">
        <is>
          <t>2023-12-04</t>
        </is>
      </c>
      <c r="R145" s="5" t="inlineStr">
        <is>
          <t>2023-12-24</t>
        </is>
      </c>
      <c r="S145" s="5" t="inlineStr">
        <is>
          <t>SF,액션</t>
        </is>
      </c>
      <c r="T145" s="5" t="inlineStr">
        <is>
          <t>일본</t>
        </is>
      </c>
      <c r="U145" s="5" t="inlineStr">
        <is>
          <t>와이드 릴리즈(주)</t>
        </is>
      </c>
    </row>
    <row r="146">
      <c r="A146" s="20" t="inlineStr">
        <is>
          <t>극장판 기븐 – 바다로</t>
        </is>
      </c>
      <c r="B146" s="20" t="inlineStr">
        <is>
          <t>2026-08-26</t>
        </is>
      </c>
      <c r="C146" s="20" t="inlineStr">
        <is>
          <t>2026-08-26</t>
        </is>
      </c>
      <c r="D146" s="20" t="inlineStr">
        <is>
          <t>신작</t>
        </is>
      </c>
      <c r="E146" s="20" t="inlineStr">
        <is>
          <t>애니메이션</t>
        </is>
      </c>
      <c r="F146" s="20" t="inlineStr">
        <is>
          <t>상영중(잠정)</t>
        </is>
      </c>
      <c r="G146" s="21" t="n">
        <v>1645</v>
      </c>
      <c r="H146" s="21" t="n">
        <v>15251</v>
      </c>
      <c r="I146" s="21" t="n">
        <v>110</v>
      </c>
      <c r="J146" s="21" t="n">
        <v>1645</v>
      </c>
      <c r="K146" s="22">
        <f>IFERROR(G146/H146,"")</f>
        <v/>
      </c>
      <c r="L146" s="23">
        <f>IFERROR(J146/H146,"")</f>
        <v/>
      </c>
      <c r="M146" s="21" t="n">
        <v>110</v>
      </c>
      <c r="N146" s="24" t="n">
        <v>110</v>
      </c>
      <c r="O146" s="24" t="n">
        <v>139</v>
      </c>
      <c r="P146" s="21" t="n">
        <v>1</v>
      </c>
      <c r="Q146" s="20" t="inlineStr">
        <is>
          <t>2026-08-24</t>
        </is>
      </c>
      <c r="R146" s="20" t="inlineStr">
        <is>
          <t>2026-08-30</t>
        </is>
      </c>
      <c r="S146" s="20" t="inlineStr">
        <is>
          <t>애니메이션</t>
        </is>
      </c>
      <c r="T146" s="20" t="inlineStr">
        <is>
          <t>일본</t>
        </is>
      </c>
      <c r="U146" s="20" t="inlineStr">
        <is>
          <t>(주)미디어캐슬</t>
        </is>
      </c>
    </row>
    <row r="147">
      <c r="A147" s="5" t="inlineStr">
        <is>
          <t>톰보이</t>
        </is>
      </c>
      <c r="B147" s="5" t="inlineStr">
        <is>
          <t>2024-11-06</t>
        </is>
      </c>
      <c r="C147" s="5" t="inlineStr">
        <is>
          <t>2020-05-14</t>
        </is>
      </c>
      <c r="D147" s="5" t="inlineStr">
        <is>
          <t>재개봉/구작</t>
        </is>
      </c>
      <c r="E147" s="5" t="inlineStr">
        <is>
          <t>실사 외화</t>
        </is>
      </c>
      <c r="F147" s="5" t="inlineStr">
        <is>
          <t>종영</t>
        </is>
      </c>
      <c r="G147" s="7" t="n">
        <v>1629</v>
      </c>
      <c r="H147" s="7" t="n">
        <v>10037</v>
      </c>
      <c r="I147" s="7" t="n">
        <v>62</v>
      </c>
      <c r="J147" s="7" t="n">
        <v>187</v>
      </c>
      <c r="K147" s="8">
        <f>IFERROR(G147/H147,"")</f>
        <v/>
      </c>
      <c r="L147" s="13">
        <f>IFERROR(J147/H147,"")</f>
        <v/>
      </c>
      <c r="M147" s="7" t="n">
        <v>60</v>
      </c>
      <c r="N147" s="19" t="n">
        <v>18.5</v>
      </c>
      <c r="O147" s="19" t="n">
        <v>145</v>
      </c>
      <c r="P147" s="7" t="n">
        <v>4</v>
      </c>
      <c r="Q147" s="5" t="inlineStr">
        <is>
          <t>2024-11-04</t>
        </is>
      </c>
      <c r="R147" s="5" t="inlineStr">
        <is>
          <t>2024-12-01</t>
        </is>
      </c>
      <c r="S147" s="5" t="inlineStr">
        <is>
          <t>드라마</t>
        </is>
      </c>
      <c r="T147" s="5" t="inlineStr">
        <is>
          <t>프랑스</t>
        </is>
      </c>
      <c r="U147" s="5" t="inlineStr">
        <is>
          <t>(주)블루라벨픽쳐스,TCO(주)더콘텐츠온,(주)영화특별시에스엠씨</t>
        </is>
      </c>
    </row>
    <row r="148">
      <c r="A148" s="5" t="inlineStr">
        <is>
          <t>극장판 나와 로보코</t>
        </is>
      </c>
      <c r="B148" s="5" t="inlineStr">
        <is>
          <t>2025-11-26</t>
        </is>
      </c>
      <c r="C148" s="5" t="inlineStr">
        <is>
          <t>2025-11-26</t>
        </is>
      </c>
      <c r="D148" s="5" t="inlineStr">
        <is>
          <t>신작</t>
        </is>
      </c>
      <c r="E148" s="5" t="inlineStr">
        <is>
          <t>애니메이션</t>
        </is>
      </c>
      <c r="F148" s="5" t="inlineStr">
        <is>
          <t>종영</t>
        </is>
      </c>
      <c r="G148" s="7" t="n">
        <v>933</v>
      </c>
      <c r="H148" s="7" t="n">
        <v>10564</v>
      </c>
      <c r="I148" s="7" t="n">
        <v>74</v>
      </c>
      <c r="J148" s="7" t="n">
        <v>181</v>
      </c>
      <c r="K148" s="8">
        <f>IFERROR(G148/H148,"")</f>
        <v/>
      </c>
      <c r="L148" s="13">
        <f>IFERROR(J148/H148,"")</f>
        <v/>
      </c>
      <c r="M148" s="7" t="n">
        <v>74</v>
      </c>
      <c r="N148" s="19" t="n">
        <v>26</v>
      </c>
      <c r="O148" s="19" t="n">
        <v>122</v>
      </c>
      <c r="P148" s="7" t="n">
        <v>3</v>
      </c>
      <c r="Q148" s="5" t="inlineStr">
        <is>
          <t>2025-11-24</t>
        </is>
      </c>
      <c r="R148" s="5" t="inlineStr">
        <is>
          <t>2025-12-14</t>
        </is>
      </c>
      <c r="S148" s="5" t="inlineStr">
        <is>
          <t>애니메이션</t>
        </is>
      </c>
      <c r="T148" s="5" t="inlineStr">
        <is>
          <t>일본</t>
        </is>
      </c>
      <c r="U148" s="5" t="inlineStr">
        <is>
          <t>에스엠지홀딩스 주식회사</t>
        </is>
      </c>
    </row>
    <row r="149">
      <c r="A149" s="5" t="inlineStr">
        <is>
          <t>나나미 : 마지막 한방울까지 짜내는 무삭제</t>
        </is>
      </c>
      <c r="B149" s="5" t="inlineStr">
        <is>
          <t>2023-06-13</t>
        </is>
      </c>
      <c r="C149" s="5" t="inlineStr"/>
      <c r="D149" s="5" t="inlineStr">
        <is>
          <t>재개봉/구작</t>
        </is>
      </c>
      <c r="E149" s="5" t="inlineStr">
        <is>
          <t>실사 외화</t>
        </is>
      </c>
      <c r="F149" s="5" t="inlineStr">
        <is>
          <t>종영</t>
        </is>
      </c>
      <c r="G149" s="7" t="n">
        <v>220</v>
      </c>
      <c r="H149" s="7" t="n">
        <v>9224</v>
      </c>
      <c r="I149" s="7" t="n">
        <v>55</v>
      </c>
      <c r="J149" s="7" t="n">
        <v>220</v>
      </c>
      <c r="K149" s="8">
        <f>IFERROR(G149/H149,"")</f>
        <v/>
      </c>
      <c r="L149" s="13">
        <f>IFERROR(J149/H149,"")</f>
        <v/>
      </c>
      <c r="M149" s="7" t="n">
        <v>55</v>
      </c>
      <c r="N149" s="19" t="n">
        <v>55</v>
      </c>
      <c r="O149" s="19" t="n">
        <v>168</v>
      </c>
      <c r="P149" s="7" t="n">
        <v>1</v>
      </c>
      <c r="Q149" s="5" t="inlineStr">
        <is>
          <t>2023-06-12</t>
        </is>
      </c>
      <c r="R149" s="5" t="inlineStr">
        <is>
          <t>2023-06-18</t>
        </is>
      </c>
      <c r="S149" s="5" t="inlineStr">
        <is>
          <t>성인물(에로)</t>
        </is>
      </c>
      <c r="T149" s="5" t="inlineStr">
        <is>
          <t>일본</t>
        </is>
      </c>
      <c r="U149" s="5" t="inlineStr">
        <is>
          <t>(주)영화사 사계절</t>
        </is>
      </c>
    </row>
  </sheetData>
  <autoFilter ref="A2:U1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0" customWidth="1" min="5" max="5"/>
    <col width="12" customWidth="1" min="6" max="6"/>
    <col width="11" customWidth="1" min="7" max="7"/>
    <col width="12" customWidth="1" min="8" max="8"/>
    <col width="12" customWidth="1" min="9" max="9"/>
    <col width="11" customWidth="1" min="10" max="10"/>
    <col width="12" customWidth="1" min="11" max="11"/>
    <col width="12" customWidth="1" min="12" max="12"/>
    <col width="13" customWidth="1" min="13" max="13"/>
    <col width="10" customWidth="1" min="14" max="14"/>
    <col width="11" customWidth="1" min="15" max="15"/>
    <col width="9" customWidth="1" min="16" max="16"/>
    <col width="12" customWidth="1" min="17" max="17"/>
    <col width="12" customWidth="1" min="18" max="18"/>
    <col width="24" customWidth="1" min="19" max="19"/>
    <col width="9" customWidth="1" min="20" max="20"/>
    <col width="26" customWidth="1" min="21" max="21"/>
  </cols>
  <sheetData>
    <row r="1">
      <c r="A1" s="17" t="inlineStr">
        <is>
          <t>※ 판정: KOBIS 「체인영화관별 상영현황」 실측 — 오리지널 런 구간에서 CGV·롯데 편성 0 &amp; 메가박스 편성 有 (씨네Q 허용, 메가 최대주간 50관 이상). 노란 행 = 상영중이라 최종 아님. / 개봉일 = KOBIS 개봉일</t>
        </is>
      </c>
    </row>
    <row r="2">
      <c r="A2" s="18" t="inlineStr">
        <is>
          <t>영화명</t>
        </is>
      </c>
      <c r="B2" s="18" t="inlineStr">
        <is>
          <t>개봉일</t>
        </is>
      </c>
      <c r="C2" s="18" t="inlineStr">
        <is>
          <t>원개봉일</t>
        </is>
      </c>
      <c r="D2" s="18" t="inlineStr">
        <is>
          <t>구분</t>
        </is>
      </c>
      <c r="E2" s="18" t="inlineStr">
        <is>
          <t>세그먼트</t>
        </is>
      </c>
      <c r="F2" s="18" t="inlineStr">
        <is>
          <t>상영상태</t>
        </is>
      </c>
      <c r="G2" s="18" t="inlineStr">
        <is>
          <t>누적관객</t>
        </is>
      </c>
      <c r="H2" s="18" t="inlineStr">
        <is>
          <t>개봉일좌석수</t>
        </is>
      </c>
      <c r="I2" s="18" t="inlineStr">
        <is>
          <t>개봉일스크린수</t>
        </is>
      </c>
      <c r="J2" s="18" t="inlineStr">
        <is>
          <t>개봉일관객수</t>
        </is>
      </c>
      <c r="K2" s="18" t="inlineStr">
        <is>
          <t>배수(누적÷개봉일좌석)</t>
        </is>
      </c>
      <c r="L2" s="18" t="inlineStr">
        <is>
          <t>개봉일 좌석판매율</t>
        </is>
      </c>
      <c r="M2" s="18" t="inlineStr">
        <is>
          <t>메가최대일간스크린</t>
        </is>
      </c>
      <c r="N2" s="18" t="inlineStr">
        <is>
          <t>평균스크린</t>
        </is>
      </c>
      <c r="O2" s="18" t="inlineStr">
        <is>
          <t>스크린당좌석</t>
        </is>
      </c>
      <c r="P2" s="18" t="inlineStr">
        <is>
          <t>상영주수</t>
        </is>
      </c>
      <c r="Q2" s="18" t="inlineStr">
        <is>
          <t>단독런시작</t>
        </is>
      </c>
      <c r="R2" s="18" t="inlineStr">
        <is>
          <t>단독런종료</t>
        </is>
      </c>
      <c r="S2" s="18" t="inlineStr">
        <is>
          <t>장르</t>
        </is>
      </c>
      <c r="T2" s="18" t="inlineStr">
        <is>
          <t>대표국적</t>
        </is>
      </c>
      <c r="U2" s="18" t="inlineStr">
        <is>
          <t>배급사</t>
        </is>
      </c>
    </row>
    <row r="3">
      <c r="A3" s="5" t="inlineStr">
        <is>
          <t>프랑켄슈타인 : 더 뮤지컬 라이브</t>
        </is>
      </c>
      <c r="B3" s="5" t="inlineStr">
        <is>
          <t>2025-09-18</t>
        </is>
      </c>
      <c r="C3" s="5" t="inlineStr">
        <is>
          <t>2025-09-18</t>
        </is>
      </c>
      <c r="D3" s="5" t="inlineStr">
        <is>
          <t>신작</t>
        </is>
      </c>
      <c r="E3" s="5" t="inlineStr">
        <is>
          <t>공연·실황</t>
        </is>
      </c>
      <c r="F3" s="5" t="inlineStr">
        <is>
          <t>종영</t>
        </is>
      </c>
      <c r="G3" s="7" t="n">
        <v>93574</v>
      </c>
      <c r="H3" s="7" t="n">
        <v>20923</v>
      </c>
      <c r="I3" s="7" t="n">
        <v>19</v>
      </c>
      <c r="J3" s="7" t="n">
        <v>4789</v>
      </c>
      <c r="K3" s="8">
        <f>IFERROR(G3/H3,"")</f>
        <v/>
      </c>
      <c r="L3" s="13">
        <f>IFERROR(J3/H3,"")</f>
        <v/>
      </c>
      <c r="M3" s="7" t="n">
        <v>141</v>
      </c>
      <c r="N3" s="19" t="n">
        <v>47.1</v>
      </c>
      <c r="O3" s="19" t="n">
        <v>219</v>
      </c>
      <c r="P3" s="7" t="n">
        <v>14</v>
      </c>
      <c r="Q3" s="5" t="inlineStr">
        <is>
          <t>2025-09-08</t>
        </is>
      </c>
      <c r="R3" s="5" t="inlineStr">
        <is>
          <t>2025-12-14</t>
        </is>
      </c>
      <c r="S3" s="5" t="inlineStr">
        <is>
          <t>공연</t>
        </is>
      </c>
      <c r="T3" s="5" t="inlineStr">
        <is>
          <t>한국</t>
        </is>
      </c>
      <c r="U3" s="5" t="inlineStr">
        <is>
          <t>(주)위즈온센,메가박스중앙(주)</t>
        </is>
      </c>
    </row>
    <row r="4">
      <c r="A4" s="5" t="inlineStr">
        <is>
          <t>엘리자벳: 더 뮤지컬 라이브</t>
        </is>
      </c>
      <c r="B4" s="5" t="inlineStr">
        <is>
          <t>2024-10-16</t>
        </is>
      </c>
      <c r="C4" s="5" t="inlineStr">
        <is>
          <t>2024-10-16</t>
        </is>
      </c>
      <c r="D4" s="5" t="inlineStr">
        <is>
          <t>신작</t>
        </is>
      </c>
      <c r="E4" s="5" t="inlineStr">
        <is>
          <t>공연·실황</t>
        </is>
      </c>
      <c r="F4" s="5" t="inlineStr">
        <is>
          <t>종영</t>
        </is>
      </c>
      <c r="G4" s="7" t="n">
        <v>47522</v>
      </c>
      <c r="H4" s="7" t="n">
        <v>19245</v>
      </c>
      <c r="I4" s="7" t="n">
        <v>18</v>
      </c>
      <c r="J4" s="7" t="n">
        <v>2659</v>
      </c>
      <c r="K4" s="8">
        <f>IFERROR(G4/H4,"")</f>
        <v/>
      </c>
      <c r="L4" s="13">
        <f>IFERROR(J4/H4,"")</f>
        <v/>
      </c>
      <c r="M4" s="7" t="n">
        <v>118</v>
      </c>
      <c r="N4" s="19" t="n">
        <v>57.3</v>
      </c>
      <c r="O4" s="19" t="n">
        <v>219</v>
      </c>
      <c r="P4" s="7" t="n">
        <v>8</v>
      </c>
      <c r="Q4" s="5" t="inlineStr">
        <is>
          <t>2024-10-14</t>
        </is>
      </c>
      <c r="R4" s="5" t="inlineStr">
        <is>
          <t>2024-12-08</t>
        </is>
      </c>
      <c r="S4" s="5" t="inlineStr">
        <is>
          <t>공연,뮤지컬</t>
        </is>
      </c>
      <c r="T4" s="5" t="inlineStr">
        <is>
          <t>한국</t>
        </is>
      </c>
      <c r="U4" s="5" t="inlineStr">
        <is>
          <t>(주)위즈온센,메가박스중앙(주)</t>
        </is>
      </c>
    </row>
    <row r="5">
      <c r="A5" s="5" t="inlineStr">
        <is>
          <t>마이 샤이니 월드</t>
        </is>
      </c>
      <c r="B5" s="5" t="inlineStr">
        <is>
          <t>2023-11-03</t>
        </is>
      </c>
      <c r="C5" s="5" t="inlineStr">
        <is>
          <t>2023-11-03</t>
        </is>
      </c>
      <c r="D5" s="5" t="inlineStr">
        <is>
          <t>신작</t>
        </is>
      </c>
      <c r="E5" s="5" t="inlineStr">
        <is>
          <t>공연·실황</t>
        </is>
      </c>
      <c r="F5" s="5" t="inlineStr">
        <is>
          <t>종영</t>
        </is>
      </c>
      <c r="G5" s="7" t="n">
        <v>26480</v>
      </c>
      <c r="H5" s="7" t="n">
        <v>15156</v>
      </c>
      <c r="I5" s="7" t="n">
        <v>17</v>
      </c>
      <c r="J5" s="7" t="n">
        <v>3129</v>
      </c>
      <c r="K5" s="8">
        <f>IFERROR(G5/H5,"")</f>
        <v/>
      </c>
      <c r="L5" s="13">
        <f>IFERROR(J5/H5,"")</f>
        <v/>
      </c>
      <c r="M5" s="7" t="n">
        <v>93</v>
      </c>
      <c r="N5" s="19" t="n">
        <v>27</v>
      </c>
      <c r="O5" s="19" t="n">
        <v>243</v>
      </c>
      <c r="P5" s="7" t="n">
        <v>12</v>
      </c>
      <c r="Q5" s="5" t="inlineStr">
        <is>
          <t>2023-10-23</t>
        </is>
      </c>
      <c r="R5" s="5" t="inlineStr">
        <is>
          <t>2024-01-14</t>
        </is>
      </c>
      <c r="S5" s="5" t="inlineStr">
        <is>
          <t>공연,다큐멘터리</t>
        </is>
      </c>
      <c r="T5" s="5" t="inlineStr">
        <is>
          <t>한국</t>
        </is>
      </c>
      <c r="U5" s="5" t="inlineStr">
        <is>
          <t>메가박스중앙(주)</t>
        </is>
      </c>
    </row>
    <row r="6">
      <c r="A6" s="5" t="inlineStr">
        <is>
          <t>어쩌면 해피엔딩</t>
        </is>
      </c>
      <c r="B6" s="5" t="inlineStr">
        <is>
          <t>2025-10-02</t>
        </is>
      </c>
      <c r="C6" s="5" t="inlineStr">
        <is>
          <t>2025-10-02</t>
        </is>
      </c>
      <c r="D6" s="5" t="inlineStr">
        <is>
          <t>신작</t>
        </is>
      </c>
      <c r="E6" s="5" t="inlineStr">
        <is>
          <t>공연·실황</t>
        </is>
      </c>
      <c r="F6" s="5" t="inlineStr">
        <is>
          <t>종영</t>
        </is>
      </c>
      <c r="G6" s="7" t="n">
        <v>25292</v>
      </c>
      <c r="H6" s="7" t="n">
        <v>35575</v>
      </c>
      <c r="I6" s="7" t="n">
        <v>147</v>
      </c>
      <c r="J6" s="7" t="n">
        <v>1527</v>
      </c>
      <c r="K6" s="8">
        <f>IFERROR(G6/H6,"")</f>
        <v/>
      </c>
      <c r="L6" s="13">
        <f>IFERROR(J6/H6,"")</f>
        <v/>
      </c>
      <c r="M6" s="7" t="n">
        <v>109</v>
      </c>
      <c r="N6" s="19" t="n">
        <v>34.8</v>
      </c>
      <c r="O6" s="19" t="n">
        <v>140</v>
      </c>
      <c r="P6" s="7" t="n">
        <v>10</v>
      </c>
      <c r="Q6" s="5" t="inlineStr">
        <is>
          <t>2025-09-29</t>
        </is>
      </c>
      <c r="R6" s="5" t="inlineStr">
        <is>
          <t>2025-12-07</t>
        </is>
      </c>
      <c r="S6" s="5" t="inlineStr">
        <is>
          <t>뮤지컬,멜로/로맨스</t>
        </is>
      </c>
      <c r="T6" s="5" t="inlineStr">
        <is>
          <t>한국</t>
        </is>
      </c>
      <c r="U6" s="5" t="inlineStr">
        <is>
          <t>(주)키노필름,(주)아센디오,(주)영화특별시에스엠씨,(주)로드쇼플러스</t>
        </is>
      </c>
    </row>
    <row r="7">
      <c r="A7" s="5" t="inlineStr">
        <is>
          <t>뮤지컬 장수탕 선녀님</t>
        </is>
      </c>
      <c r="B7" s="5" t="inlineStr">
        <is>
          <t>2026-03-26</t>
        </is>
      </c>
      <c r="C7" s="5" t="inlineStr">
        <is>
          <t>2026-03-26</t>
        </is>
      </c>
      <c r="D7" s="5" t="inlineStr">
        <is>
          <t>신작</t>
        </is>
      </c>
      <c r="E7" s="5" t="inlineStr">
        <is>
          <t>공연·실황</t>
        </is>
      </c>
      <c r="F7" s="5" t="inlineStr">
        <is>
          <t>종영</t>
        </is>
      </c>
      <c r="G7" s="7" t="n">
        <v>18207</v>
      </c>
      <c r="H7" s="7" t="n">
        <v>14201</v>
      </c>
      <c r="I7" s="7" t="n">
        <v>89</v>
      </c>
      <c r="J7" s="7" t="n">
        <v>737</v>
      </c>
      <c r="K7" s="8">
        <f>IFERROR(G7/H7,"")</f>
        <v/>
      </c>
      <c r="L7" s="13">
        <f>IFERROR(J7/H7,"")</f>
        <v/>
      </c>
      <c r="M7" s="7" t="n">
        <v>89</v>
      </c>
      <c r="N7" s="19" t="n">
        <v>30.5</v>
      </c>
      <c r="O7" s="19" t="n">
        <v>128</v>
      </c>
      <c r="P7" s="7" t="n">
        <v>10</v>
      </c>
      <c r="Q7" s="5" t="inlineStr">
        <is>
          <t>2026-03-16</t>
        </is>
      </c>
      <c r="R7" s="5" t="inlineStr">
        <is>
          <t>2026-05-24</t>
        </is>
      </c>
      <c r="S7" s="5" t="inlineStr">
        <is>
          <t>뮤지컬,공연</t>
        </is>
      </c>
      <c r="T7" s="5" t="inlineStr">
        <is>
          <t>한국</t>
        </is>
      </c>
      <c r="U7" s="5" t="inlineStr">
        <is>
          <t>메가박스중앙(주),(주)영화사 그램</t>
        </is>
      </c>
    </row>
    <row r="8">
      <c r="A8" s="5" t="inlineStr">
        <is>
          <t>영웅: 라이브 인 시네마</t>
        </is>
      </c>
      <c r="B8" s="5" t="inlineStr">
        <is>
          <t>2024-08-21</t>
        </is>
      </c>
      <c r="C8" s="5" t="inlineStr">
        <is>
          <t>2024-08-21</t>
        </is>
      </c>
      <c r="D8" s="5" t="inlineStr">
        <is>
          <t>신작</t>
        </is>
      </c>
      <c r="E8" s="5" t="inlineStr">
        <is>
          <t>공연·실황</t>
        </is>
      </c>
      <c r="F8" s="5" t="inlineStr">
        <is>
          <t>종영</t>
        </is>
      </c>
      <c r="G8" s="7" t="n">
        <v>15141</v>
      </c>
      <c r="H8" s="7" t="n">
        <v>6291</v>
      </c>
      <c r="I8" s="7" t="n">
        <v>21</v>
      </c>
      <c r="J8" s="7" t="n">
        <v>803</v>
      </c>
      <c r="K8" s="8">
        <f>IFERROR(G8/H8,"")</f>
        <v/>
      </c>
      <c r="L8" s="13">
        <f>IFERROR(J8/H8,"")</f>
        <v/>
      </c>
      <c r="M8" s="7" t="n">
        <v>98</v>
      </c>
      <c r="N8" s="19" t="n">
        <v>24.5</v>
      </c>
      <c r="O8" s="19" t="n">
        <v>154</v>
      </c>
      <c r="P8" s="7" t="n">
        <v>18</v>
      </c>
      <c r="Q8" s="5" t="inlineStr">
        <is>
          <t>2024-08-12</t>
        </is>
      </c>
      <c r="R8" s="5" t="inlineStr">
        <is>
          <t>2024-12-15</t>
        </is>
      </c>
      <c r="S8" s="5" t="inlineStr">
        <is>
          <t>공연,뮤지컬</t>
        </is>
      </c>
      <c r="T8" s="5" t="inlineStr">
        <is>
          <t>한국</t>
        </is>
      </c>
      <c r="U8" s="5" t="inlineStr">
        <is>
          <t>(주)위즈온센,메가박스중앙(주)</t>
        </is>
      </c>
    </row>
    <row r="9">
      <c r="A9" s="5" t="inlineStr">
        <is>
          <t>오피셜히게단디즘 라이브 앳 스타디움 2025</t>
        </is>
      </c>
      <c r="B9" s="5" t="inlineStr">
        <is>
          <t>2026-04-02</t>
        </is>
      </c>
      <c r="C9" s="5" t="inlineStr">
        <is>
          <t>2026-04-02</t>
        </is>
      </c>
      <c r="D9" s="5" t="inlineStr">
        <is>
          <t>신작</t>
        </is>
      </c>
      <c r="E9" s="5" t="inlineStr">
        <is>
          <t>공연·실황</t>
        </is>
      </c>
      <c r="F9" s="5" t="inlineStr">
        <is>
          <t>종영</t>
        </is>
      </c>
      <c r="G9" s="7" t="n">
        <v>13842</v>
      </c>
      <c r="H9" s="7" t="n">
        <v>14556</v>
      </c>
      <c r="I9" s="7" t="n">
        <v>58</v>
      </c>
      <c r="J9" s="7" t="n">
        <v>3178</v>
      </c>
      <c r="K9" s="8">
        <f>IFERROR(G9/H9,"")</f>
        <v/>
      </c>
      <c r="L9" s="13">
        <f>IFERROR(J9/H9,"")</f>
        <v/>
      </c>
      <c r="M9" s="7" t="n">
        <v>58</v>
      </c>
      <c r="N9" s="19" t="n">
        <v>19.2</v>
      </c>
      <c r="O9" s="19" t="n">
        <v>195</v>
      </c>
      <c r="P9" s="7" t="n">
        <v>8</v>
      </c>
      <c r="Q9" s="5" t="inlineStr">
        <is>
          <t>2026-03-30</t>
        </is>
      </c>
      <c r="R9" s="5" t="inlineStr">
        <is>
          <t>2026-05-24</t>
        </is>
      </c>
      <c r="S9" s="5" t="inlineStr">
        <is>
          <t>공연</t>
        </is>
      </c>
      <c r="T9" s="5" t="inlineStr">
        <is>
          <t>일본</t>
        </is>
      </c>
      <c r="U9" s="5" t="inlineStr">
        <is>
          <t>(주)영화사 그램</t>
        </is>
      </c>
    </row>
    <row r="10">
      <c r="A10" s="5" t="inlineStr">
        <is>
          <t>2017 방탄소년단 라이브 트릴로지 에피소드 3 윙스 투어 더 파이널 리마스터링</t>
        </is>
      </c>
      <c r="B10" s="5" t="inlineStr">
        <is>
          <t>2025-09-23</t>
        </is>
      </c>
      <c r="C10" s="5" t="inlineStr">
        <is>
          <t>2025-09-23</t>
        </is>
      </c>
      <c r="D10" s="5" t="inlineStr">
        <is>
          <t>신작</t>
        </is>
      </c>
      <c r="E10" s="5" t="inlineStr">
        <is>
          <t>공연·실황</t>
        </is>
      </c>
      <c r="F10" s="5" t="inlineStr">
        <is>
          <t>종영</t>
        </is>
      </c>
      <c r="G10" s="7" t="n">
        <v>5209</v>
      </c>
      <c r="H10" s="7" t="n">
        <v>285</v>
      </c>
      <c r="I10" s="7" t="n">
        <v>1</v>
      </c>
      <c r="J10" s="7" t="n">
        <v>150</v>
      </c>
      <c r="K10" s="8">
        <f>IFERROR(G10/H10,"")</f>
        <v/>
      </c>
      <c r="L10" s="13">
        <f>IFERROR(J10/H10,"")</f>
        <v/>
      </c>
      <c r="M10" s="7" t="n">
        <v>57</v>
      </c>
      <c r="N10" s="19" t="n">
        <v>29</v>
      </c>
      <c r="O10" s="19" t="n">
        <v>152</v>
      </c>
      <c r="P10" s="7" t="n">
        <v>5</v>
      </c>
      <c r="Q10" s="5" t="inlineStr">
        <is>
          <t>2025-09-22</t>
        </is>
      </c>
      <c r="R10" s="5" t="inlineStr">
        <is>
          <t>2025-10-26</t>
        </is>
      </c>
      <c r="S10" s="5" t="inlineStr">
        <is>
          <t>공연</t>
        </is>
      </c>
      <c r="T10" s="5" t="inlineStr">
        <is>
          <t>한국</t>
        </is>
      </c>
      <c r="U10" s="5" t="inlineStr">
        <is>
          <t>메가박스중앙(주)</t>
        </is>
      </c>
    </row>
    <row r="11">
      <c r="A11" s="5" t="inlineStr">
        <is>
          <t>2019 방탄소년단 월드 투어 '러브 유어셀프 : 스피크 유어셀프' 런던 리마스터링</t>
        </is>
      </c>
      <c r="B11" s="5" t="inlineStr">
        <is>
          <t>2025-09-23</t>
        </is>
      </c>
      <c r="C11" s="5" t="inlineStr">
        <is>
          <t>2025-09-23</t>
        </is>
      </c>
      <c r="D11" s="5" t="inlineStr">
        <is>
          <t>신작</t>
        </is>
      </c>
      <c r="E11" s="5" t="inlineStr">
        <is>
          <t>공연·실황</t>
        </is>
      </c>
      <c r="F11" s="5" t="inlineStr">
        <is>
          <t>종영</t>
        </is>
      </c>
      <c r="G11" s="7" t="n">
        <v>5163</v>
      </c>
      <c r="H11" s="7" t="n">
        <v>285</v>
      </c>
      <c r="I11" s="7" t="n">
        <v>1</v>
      </c>
      <c r="J11" s="7" t="n">
        <v>150</v>
      </c>
      <c r="K11" s="8">
        <f>IFERROR(G11/H11,"")</f>
        <v/>
      </c>
      <c r="L11" s="13">
        <f>IFERROR(J11/H11,"")</f>
        <v/>
      </c>
      <c r="M11" s="7" t="n">
        <v>80</v>
      </c>
      <c r="N11" s="19" t="n">
        <v>26.9</v>
      </c>
      <c r="O11" s="19" t="n">
        <v>126</v>
      </c>
      <c r="P11" s="7" t="n">
        <v>5</v>
      </c>
      <c r="Q11" s="5" t="inlineStr">
        <is>
          <t>2025-09-22</t>
        </is>
      </c>
      <c r="R11" s="5" t="inlineStr">
        <is>
          <t>2025-10-26</t>
        </is>
      </c>
      <c r="S11" s="5" t="inlineStr">
        <is>
          <t>공연</t>
        </is>
      </c>
      <c r="T11" s="5" t="inlineStr">
        <is>
          <t>한국</t>
        </is>
      </c>
      <c r="U11" s="5" t="inlineStr">
        <is>
          <t>메가박스중앙(주)</t>
        </is>
      </c>
    </row>
    <row r="12">
      <c r="A12" s="5" t="inlineStr">
        <is>
          <t>2021 방탄소년단 머스터 소우주 리마스터링</t>
        </is>
      </c>
      <c r="B12" s="5" t="inlineStr">
        <is>
          <t>2025-09-23</t>
        </is>
      </c>
      <c r="C12" s="5" t="inlineStr">
        <is>
          <t>2025-09-23</t>
        </is>
      </c>
      <c r="D12" s="5" t="inlineStr">
        <is>
          <t>신작</t>
        </is>
      </c>
      <c r="E12" s="5" t="inlineStr">
        <is>
          <t>공연·실황</t>
        </is>
      </c>
      <c r="F12" s="5" t="inlineStr">
        <is>
          <t>종영</t>
        </is>
      </c>
      <c r="G12" s="7" t="n">
        <v>3404</v>
      </c>
      <c r="H12" s="7" t="n">
        <v>285</v>
      </c>
      <c r="I12" s="7" t="n">
        <v>1</v>
      </c>
      <c r="J12" s="7" t="n">
        <v>150</v>
      </c>
      <c r="K12" s="8">
        <f>IFERROR(G12/H12,"")</f>
        <v/>
      </c>
      <c r="L12" s="13">
        <f>IFERROR(J12/H12,"")</f>
        <v/>
      </c>
      <c r="M12" s="7" t="n">
        <v>74</v>
      </c>
      <c r="N12" s="19" t="n">
        <v>24.1</v>
      </c>
      <c r="O12" s="19" t="n">
        <v>126</v>
      </c>
      <c r="P12" s="7" t="n">
        <v>5</v>
      </c>
      <c r="Q12" s="5" t="inlineStr">
        <is>
          <t>2025-09-22</t>
        </is>
      </c>
      <c r="R12" s="5" t="inlineStr">
        <is>
          <t>2025-10-26</t>
        </is>
      </c>
      <c r="S12" s="5" t="inlineStr">
        <is>
          <t>공연</t>
        </is>
      </c>
      <c r="T12" s="5" t="inlineStr">
        <is>
          <t>한국</t>
        </is>
      </c>
      <c r="U12" s="5" t="inlineStr">
        <is>
          <t>메가박스중앙(주)</t>
        </is>
      </c>
    </row>
    <row r="13">
      <c r="A13" s="5" t="inlineStr">
        <is>
          <t>머티리얼리스트</t>
        </is>
      </c>
      <c r="B13" s="5" t="inlineStr">
        <is>
          <t>2025-08-08</t>
        </is>
      </c>
      <c r="C13" s="5" t="inlineStr">
        <is>
          <t>2025-08-08</t>
        </is>
      </c>
      <c r="D13" s="5" t="inlineStr">
        <is>
          <t>신작</t>
        </is>
      </c>
      <c r="E13" s="5" t="inlineStr">
        <is>
          <t>실사 외화</t>
        </is>
      </c>
      <c r="F13" s="5" t="inlineStr">
        <is>
          <t>종영</t>
        </is>
      </c>
      <c r="G13" s="7" t="n">
        <v>63767</v>
      </c>
      <c r="H13" s="7" t="n">
        <v>62670</v>
      </c>
      <c r="I13" s="7" t="n">
        <v>166</v>
      </c>
      <c r="J13" s="7" t="n">
        <v>7585</v>
      </c>
      <c r="K13" s="8">
        <f>IFERROR(G13/H13,"")</f>
        <v/>
      </c>
      <c r="L13" s="13">
        <f>IFERROR(J13/H13,"")</f>
        <v/>
      </c>
      <c r="M13" s="7" t="n">
        <v>157</v>
      </c>
      <c r="N13" s="19" t="n">
        <v>63.6</v>
      </c>
      <c r="O13" s="19" t="n">
        <v>213</v>
      </c>
      <c r="P13" s="7" t="n">
        <v>9</v>
      </c>
      <c r="Q13" s="5" t="inlineStr">
        <is>
          <t>2025-07-28</t>
        </is>
      </c>
      <c r="R13" s="5" t="inlineStr">
        <is>
          <t>2025-09-28</t>
        </is>
      </c>
      <c r="S13" s="5" t="inlineStr">
        <is>
          <t>멜로/로맨스,코미디</t>
        </is>
      </c>
      <c r="T13" s="5" t="inlineStr">
        <is>
          <t>미국</t>
        </is>
      </c>
      <c r="U13" s="5" t="inlineStr">
        <is>
          <t>소니픽쳐스엔터테인먼트코리아주식회사극장배급지점</t>
        </is>
      </c>
    </row>
    <row r="14">
      <c r="A14" s="5" t="inlineStr">
        <is>
          <t>라스트 마일</t>
        </is>
      </c>
      <c r="B14" s="5" t="inlineStr">
        <is>
          <t>2025-03-26</t>
        </is>
      </c>
      <c r="C14" s="5" t="inlineStr">
        <is>
          <t>2025-03-26</t>
        </is>
      </c>
      <c r="D14" s="5" t="inlineStr">
        <is>
          <t>신작</t>
        </is>
      </c>
      <c r="E14" s="5" t="inlineStr">
        <is>
          <t>실사 외화</t>
        </is>
      </c>
      <c r="F14" s="5" t="inlineStr">
        <is>
          <t>종영</t>
        </is>
      </c>
      <c r="G14" s="7" t="n">
        <v>53013</v>
      </c>
      <c r="H14" s="7" t="n">
        <v>42700</v>
      </c>
      <c r="I14" s="7" t="n">
        <v>148</v>
      </c>
      <c r="J14" s="7" t="n">
        <v>4031</v>
      </c>
      <c r="K14" s="8">
        <f>IFERROR(G14/H14,"")</f>
        <v/>
      </c>
      <c r="L14" s="13">
        <f>IFERROR(J14/H14,"")</f>
        <v/>
      </c>
      <c r="M14" s="7" t="n">
        <v>147</v>
      </c>
      <c r="N14" s="19" t="n">
        <v>49.9</v>
      </c>
      <c r="O14" s="19" t="n">
        <v>202</v>
      </c>
      <c r="P14" s="7" t="n">
        <v>11</v>
      </c>
      <c r="Q14" s="5" t="inlineStr">
        <is>
          <t>2025-03-17</t>
        </is>
      </c>
      <c r="R14" s="5" t="inlineStr">
        <is>
          <t>2025-06-01</t>
        </is>
      </c>
      <c r="S14" s="5" t="inlineStr">
        <is>
          <t>스릴러,드라마</t>
        </is>
      </c>
      <c r="T14" s="5" t="inlineStr">
        <is>
          <t>일본</t>
        </is>
      </c>
      <c r="U14" s="5" t="inlineStr">
        <is>
          <t>(주)엠디에스스피어</t>
        </is>
      </c>
    </row>
    <row r="15">
      <c r="A15" s="5" t="inlineStr">
        <is>
          <t>첫 번째 키스</t>
        </is>
      </c>
      <c r="B15" s="5" t="inlineStr">
        <is>
          <t>2025-02-26</t>
        </is>
      </c>
      <c r="C15" s="5" t="inlineStr">
        <is>
          <t>2025-02-26</t>
        </is>
      </c>
      <c r="D15" s="5" t="inlineStr">
        <is>
          <t>신작</t>
        </is>
      </c>
      <c r="E15" s="5" t="inlineStr">
        <is>
          <t>실사 외화</t>
        </is>
      </c>
      <c r="F15" s="5" t="inlineStr">
        <is>
          <t>종영</t>
        </is>
      </c>
      <c r="G15" s="7" t="n">
        <v>49143</v>
      </c>
      <c r="H15" s="7" t="n">
        <v>61274</v>
      </c>
      <c r="I15" s="7" t="n">
        <v>184</v>
      </c>
      <c r="J15" s="7" t="n">
        <v>6199</v>
      </c>
      <c r="K15" s="8">
        <f>IFERROR(G15/H15,"")</f>
        <v/>
      </c>
      <c r="L15" s="13">
        <f>IFERROR(J15/H15,"")</f>
        <v/>
      </c>
      <c r="M15" s="7" t="n">
        <v>178</v>
      </c>
      <c r="N15" s="19" t="n">
        <v>64.2</v>
      </c>
      <c r="O15" s="19" t="n">
        <v>208</v>
      </c>
      <c r="P15" s="7" t="n">
        <v>8</v>
      </c>
      <c r="Q15" s="5" t="inlineStr">
        <is>
          <t>2025-02-24</t>
        </is>
      </c>
      <c r="R15" s="5" t="inlineStr">
        <is>
          <t>2025-04-20</t>
        </is>
      </c>
      <c r="S15" s="5" t="inlineStr">
        <is>
          <t>드라마,멜로/로맨스</t>
        </is>
      </c>
      <c r="T15" s="5" t="inlineStr">
        <is>
          <t>일본</t>
        </is>
      </c>
      <c r="U15" s="5" t="inlineStr">
        <is>
          <t>메가박스중앙(주)</t>
        </is>
      </c>
    </row>
    <row r="16">
      <c r="A16" s="5" t="inlineStr">
        <is>
          <t>룸 넥스트 도어</t>
        </is>
      </c>
      <c r="B16" s="5" t="inlineStr">
        <is>
          <t>2024-10-23</t>
        </is>
      </c>
      <c r="C16" s="5" t="inlineStr">
        <is>
          <t>2024-10-23</t>
        </is>
      </c>
      <c r="D16" s="5" t="inlineStr">
        <is>
          <t>신작</t>
        </is>
      </c>
      <c r="E16" s="5" t="inlineStr">
        <is>
          <t>실사 외화</t>
        </is>
      </c>
      <c r="F16" s="5" t="inlineStr">
        <is>
          <t>종영</t>
        </is>
      </c>
      <c r="G16" s="7" t="n">
        <v>42542</v>
      </c>
      <c r="H16" s="7" t="n">
        <v>45842</v>
      </c>
      <c r="I16" s="7" t="n">
        <v>151</v>
      </c>
      <c r="J16" s="7" t="n">
        <v>1952</v>
      </c>
      <c r="K16" s="8">
        <f>IFERROR(G16/H16,"")</f>
        <v/>
      </c>
      <c r="L16" s="13">
        <f>IFERROR(J16/H16,"")</f>
        <v/>
      </c>
      <c r="M16" s="7" t="n">
        <v>130</v>
      </c>
      <c r="N16" s="19" t="n">
        <v>48.2</v>
      </c>
      <c r="O16" s="19" t="n">
        <v>207</v>
      </c>
      <c r="P16" s="7" t="n">
        <v>10</v>
      </c>
      <c r="Q16" s="5" t="inlineStr">
        <is>
          <t>2024-10-07</t>
        </is>
      </c>
      <c r="R16" s="5" t="inlineStr">
        <is>
          <t>2024-12-15</t>
        </is>
      </c>
      <c r="S16" s="5" t="inlineStr">
        <is>
          <t>드라마</t>
        </is>
      </c>
      <c r="T16" s="5" t="inlineStr">
        <is>
          <t>미국</t>
        </is>
      </c>
      <c r="U16" s="5" t="inlineStr">
        <is>
          <t>워너브러더스 코리아(주)</t>
        </is>
      </c>
    </row>
    <row r="17">
      <c r="A17" s="5" t="inlineStr">
        <is>
          <t>짝사랑 세계</t>
        </is>
      </c>
      <c r="B17" s="5" t="inlineStr">
        <is>
          <t>2026-06-24</t>
        </is>
      </c>
      <c r="C17" s="5" t="inlineStr">
        <is>
          <t>2026-06-24</t>
        </is>
      </c>
      <c r="D17" s="5" t="inlineStr">
        <is>
          <t>신작</t>
        </is>
      </c>
      <c r="E17" s="5" t="inlineStr">
        <is>
          <t>실사 외화</t>
        </is>
      </c>
      <c r="F17" s="5" t="inlineStr">
        <is>
          <t>종영</t>
        </is>
      </c>
      <c r="G17" s="7" t="n">
        <v>28548</v>
      </c>
      <c r="H17" s="7" t="n">
        <v>29295</v>
      </c>
      <c r="I17" s="7" t="n">
        <v>150</v>
      </c>
      <c r="J17" s="7" t="n">
        <v>3562</v>
      </c>
      <c r="K17" s="8">
        <f>IFERROR(G17/H17,"")</f>
        <v/>
      </c>
      <c r="L17" s="13">
        <f>IFERROR(J17/H17,"")</f>
        <v/>
      </c>
      <c r="M17" s="7" t="n">
        <v>144</v>
      </c>
      <c r="N17" s="19" t="n">
        <v>42.7</v>
      </c>
      <c r="O17" s="19" t="n">
        <v>153</v>
      </c>
      <c r="P17" s="7" t="n">
        <v>9</v>
      </c>
      <c r="Q17" s="5" t="inlineStr">
        <is>
          <t>2026-06-15</t>
        </is>
      </c>
      <c r="R17" s="5" t="inlineStr">
        <is>
          <t>2026-08-16</t>
        </is>
      </c>
      <c r="S17" s="5" t="inlineStr">
        <is>
          <t>드라마,멜로/로맨스</t>
        </is>
      </c>
      <c r="T17" s="5" t="inlineStr">
        <is>
          <t>일본</t>
        </is>
      </c>
      <c r="U17" s="5" t="inlineStr">
        <is>
          <t>메가박스중앙(주)</t>
        </is>
      </c>
    </row>
    <row r="18">
      <c r="A18" s="5" t="inlineStr">
        <is>
          <t>르누아르</t>
        </is>
      </c>
      <c r="B18" s="5" t="inlineStr">
        <is>
          <t>2026-04-22</t>
        </is>
      </c>
      <c r="C18" s="5" t="inlineStr">
        <is>
          <t>2026-04-22</t>
        </is>
      </c>
      <c r="D18" s="5" t="inlineStr">
        <is>
          <t>신작</t>
        </is>
      </c>
      <c r="E18" s="5" t="inlineStr">
        <is>
          <t>실사 외화</t>
        </is>
      </c>
      <c r="F18" s="5" t="inlineStr">
        <is>
          <t>종영</t>
        </is>
      </c>
      <c r="G18" s="7" t="n">
        <v>25423</v>
      </c>
      <c r="H18" s="7" t="n">
        <v>27843</v>
      </c>
      <c r="I18" s="7" t="n">
        <v>127</v>
      </c>
      <c r="J18" s="7" t="n">
        <v>3468</v>
      </c>
      <c r="K18" s="8">
        <f>IFERROR(G18/H18,"")</f>
        <v/>
      </c>
      <c r="L18" s="13">
        <f>IFERROR(J18/H18,"")</f>
        <v/>
      </c>
      <c r="M18" s="7" t="n">
        <v>107</v>
      </c>
      <c r="N18" s="19" t="n">
        <v>34.8</v>
      </c>
      <c r="O18" s="19" t="n">
        <v>149</v>
      </c>
      <c r="P18" s="7" t="n">
        <v>9</v>
      </c>
      <c r="Q18" s="5" t="inlineStr">
        <is>
          <t>2026-04-13</t>
        </is>
      </c>
      <c r="R18" s="5" t="inlineStr">
        <is>
          <t>2026-06-14</t>
        </is>
      </c>
      <c r="S18" s="5" t="inlineStr">
        <is>
          <t>드라마</t>
        </is>
      </c>
      <c r="T18" s="5" t="inlineStr">
        <is>
          <t>일본</t>
        </is>
      </c>
      <c r="U18" s="5" t="inlineStr">
        <is>
          <t>메가박스중앙(주)</t>
        </is>
      </c>
    </row>
    <row r="19">
      <c r="A19" s="5" t="inlineStr">
        <is>
          <t>누벨바그</t>
        </is>
      </c>
      <c r="B19" s="5" t="inlineStr">
        <is>
          <t>2025-12-31</t>
        </is>
      </c>
      <c r="C19" s="5" t="inlineStr">
        <is>
          <t>2025-12-31</t>
        </is>
      </c>
      <c r="D19" s="5" t="inlineStr">
        <is>
          <t>신작</t>
        </is>
      </c>
      <c r="E19" s="5" t="inlineStr">
        <is>
          <t>실사 외화</t>
        </is>
      </c>
      <c r="F19" s="5" t="inlineStr">
        <is>
          <t>종영</t>
        </is>
      </c>
      <c r="G19" s="7" t="n">
        <v>23029</v>
      </c>
      <c r="H19" s="7" t="n">
        <v>24163</v>
      </c>
      <c r="I19" s="7" t="n">
        <v>141</v>
      </c>
      <c r="J19" s="7" t="n">
        <v>4051</v>
      </c>
      <c r="K19" s="8">
        <f>IFERROR(G19/H19,"")</f>
        <v/>
      </c>
      <c r="L19" s="13">
        <f>IFERROR(J19/H19,"")</f>
        <v/>
      </c>
      <c r="M19" s="7" t="n">
        <v>120</v>
      </c>
      <c r="N19" s="19" t="n">
        <v>39.7</v>
      </c>
      <c r="O19" s="19" t="n">
        <v>144</v>
      </c>
      <c r="P19" s="7" t="n">
        <v>8</v>
      </c>
      <c r="Q19" s="5" t="inlineStr">
        <is>
          <t>2025-12-22</t>
        </is>
      </c>
      <c r="R19" s="5" t="inlineStr">
        <is>
          <t>2026-02-15</t>
        </is>
      </c>
      <c r="S19" s="5" t="inlineStr">
        <is>
          <t>드라마</t>
        </is>
      </c>
      <c r="T19" s="5" t="inlineStr">
        <is>
          <t>프랑스</t>
        </is>
      </c>
      <c r="U19" s="5" t="inlineStr">
        <is>
          <t>메가박스중앙(주)</t>
        </is>
      </c>
    </row>
    <row r="20">
      <c r="A20" s="5" t="inlineStr">
        <is>
          <t>베이비걸</t>
        </is>
      </c>
      <c r="B20" s="5" t="inlineStr">
        <is>
          <t>2025-10-29</t>
        </is>
      </c>
      <c r="C20" s="5" t="inlineStr">
        <is>
          <t>2025-10-29</t>
        </is>
      </c>
      <c r="D20" s="5" t="inlineStr">
        <is>
          <t>신작</t>
        </is>
      </c>
      <c r="E20" s="5" t="inlineStr">
        <is>
          <t>실사 외화</t>
        </is>
      </c>
      <c r="F20" s="5" t="inlineStr">
        <is>
          <t>종영</t>
        </is>
      </c>
      <c r="G20" s="7" t="n">
        <v>22796</v>
      </c>
      <c r="H20" s="7" t="n">
        <v>52896</v>
      </c>
      <c r="I20" s="7" t="n">
        <v>157</v>
      </c>
      <c r="J20" s="7" t="n">
        <v>5865</v>
      </c>
      <c r="K20" s="8">
        <f>IFERROR(G20/H20,"")</f>
        <v/>
      </c>
      <c r="L20" s="13">
        <f>IFERROR(J20/H20,"")</f>
        <v/>
      </c>
      <c r="M20" s="7" t="n">
        <v>116</v>
      </c>
      <c r="N20" s="19" t="n">
        <v>52.6</v>
      </c>
      <c r="O20" s="19" t="n">
        <v>208</v>
      </c>
      <c r="P20" s="7" t="n">
        <v>7</v>
      </c>
      <c r="Q20" s="5" t="inlineStr">
        <is>
          <t>2025-10-20</t>
        </is>
      </c>
      <c r="R20" s="5" t="inlineStr">
        <is>
          <t>2025-12-07</t>
        </is>
      </c>
      <c r="S20" s="5" t="inlineStr">
        <is>
          <t>스릴러,멜로/로맨스,드라마</t>
        </is>
      </c>
      <c r="T20" s="5" t="inlineStr">
        <is>
          <t>미국</t>
        </is>
      </c>
      <c r="U20" s="5" t="inlineStr">
        <is>
          <t>메가박스중앙(주),주식회사 올랄라스토리</t>
        </is>
      </c>
    </row>
    <row r="21">
      <c r="A21" s="5" t="inlineStr">
        <is>
          <t>몬테크리스토 백작</t>
        </is>
      </c>
      <c r="B21" s="5" t="inlineStr">
        <is>
          <t>2026-02-13</t>
        </is>
      </c>
      <c r="C21" s="5" t="inlineStr">
        <is>
          <t>2026-02-13</t>
        </is>
      </c>
      <c r="D21" s="5" t="inlineStr">
        <is>
          <t>신작</t>
        </is>
      </c>
      <c r="E21" s="5" t="inlineStr">
        <is>
          <t>실사 외화</t>
        </is>
      </c>
      <c r="F21" s="5" t="inlineStr">
        <is>
          <t>종영</t>
        </is>
      </c>
      <c r="G21" s="7" t="n">
        <v>22636</v>
      </c>
      <c r="H21" s="7" t="n">
        <v>14777</v>
      </c>
      <c r="I21" s="7" t="n">
        <v>100</v>
      </c>
      <c r="J21" s="7" t="n">
        <v>1786</v>
      </c>
      <c r="K21" s="8">
        <f>IFERROR(G21/H21,"")</f>
        <v/>
      </c>
      <c r="L21" s="13">
        <f>IFERROR(J21/H21,"")</f>
        <v/>
      </c>
      <c r="M21" s="7" t="n">
        <v>80</v>
      </c>
      <c r="N21" s="19" t="n">
        <v>27.1</v>
      </c>
      <c r="O21" s="19" t="n">
        <v>126</v>
      </c>
      <c r="P21" s="7" t="n">
        <v>12</v>
      </c>
      <c r="Q21" s="5" t="inlineStr">
        <is>
          <t>2026-02-16</t>
        </is>
      </c>
      <c r="R21" s="5" t="inlineStr">
        <is>
          <t>2026-05-10</t>
        </is>
      </c>
      <c r="S21" s="5" t="inlineStr">
        <is>
          <t>드라마</t>
        </is>
      </c>
      <c r="T21" s="5" t="inlineStr">
        <is>
          <t>프랑스</t>
        </is>
      </c>
      <c r="U21" s="5" t="inlineStr">
        <is>
          <t>찬란,(주)버킷스튜디오</t>
        </is>
      </c>
    </row>
    <row r="22">
      <c r="A22" s="5" t="inlineStr">
        <is>
          <t>워킹맨</t>
        </is>
      </c>
      <c r="B22" s="5" t="inlineStr">
        <is>
          <t>2025-10-01</t>
        </is>
      </c>
      <c r="C22" s="5" t="inlineStr">
        <is>
          <t>2025-10-01</t>
        </is>
      </c>
      <c r="D22" s="5" t="inlineStr">
        <is>
          <t>신작</t>
        </is>
      </c>
      <c r="E22" s="5" t="inlineStr">
        <is>
          <t>실사 외화</t>
        </is>
      </c>
      <c r="F22" s="5" t="inlineStr">
        <is>
          <t>종영</t>
        </is>
      </c>
      <c r="G22" s="7" t="n">
        <v>21014</v>
      </c>
      <c r="H22" s="7" t="n">
        <v>52983</v>
      </c>
      <c r="I22" s="7" t="n">
        <v>173</v>
      </c>
      <c r="J22" s="7" t="n">
        <v>4459</v>
      </c>
      <c r="K22" s="8">
        <f>IFERROR(G22/H22,"")</f>
        <v/>
      </c>
      <c r="L22" s="13">
        <f>IFERROR(J22/H22,"")</f>
        <v/>
      </c>
      <c r="M22" s="7" t="n">
        <v>172</v>
      </c>
      <c r="N22" s="19" t="n">
        <v>46.5</v>
      </c>
      <c r="O22" s="19" t="n">
        <v>181</v>
      </c>
      <c r="P22" s="7" t="n">
        <v>7</v>
      </c>
      <c r="Q22" s="5" t="inlineStr">
        <is>
          <t>2025-09-29</t>
        </is>
      </c>
      <c r="R22" s="5" t="inlineStr">
        <is>
          <t>2025-11-16</t>
        </is>
      </c>
      <c r="S22" s="5" t="inlineStr">
        <is>
          <t>액션,스릴러,범죄</t>
        </is>
      </c>
      <c r="T22" s="5" t="inlineStr">
        <is>
          <t>미국</t>
        </is>
      </c>
      <c r="U22" s="5" t="inlineStr">
        <is>
          <t>메가박스중앙(주),(주)스튜디오디에이치엘</t>
        </is>
      </c>
    </row>
    <row r="23">
      <c r="A23" s="5" t="inlineStr">
        <is>
          <t>크라임 101</t>
        </is>
      </c>
      <c r="B23" s="5" t="inlineStr">
        <is>
          <t>2026-04-08</t>
        </is>
      </c>
      <c r="C23" s="5" t="inlineStr">
        <is>
          <t>2026-04-08</t>
        </is>
      </c>
      <c r="D23" s="5" t="inlineStr">
        <is>
          <t>신작</t>
        </is>
      </c>
      <c r="E23" s="5" t="inlineStr">
        <is>
          <t>실사 외화</t>
        </is>
      </c>
      <c r="F23" s="5" t="inlineStr">
        <is>
          <t>종영</t>
        </is>
      </c>
      <c r="G23" s="7" t="n">
        <v>20138</v>
      </c>
      <c r="H23" s="7" t="n">
        <v>53148</v>
      </c>
      <c r="I23" s="7" t="n">
        <v>208</v>
      </c>
      <c r="J23" s="7" t="n">
        <v>3513</v>
      </c>
      <c r="K23" s="8">
        <f>IFERROR(G23/H23,"")</f>
        <v/>
      </c>
      <c r="L23" s="13">
        <f>IFERROR(J23/H23,"")</f>
        <v/>
      </c>
      <c r="M23" s="7" t="n">
        <v>171</v>
      </c>
      <c r="N23" s="19" t="n">
        <v>75.2</v>
      </c>
      <c r="O23" s="19" t="n">
        <v>210</v>
      </c>
      <c r="P23" s="7" t="n">
        <v>6</v>
      </c>
      <c r="Q23" s="5" t="inlineStr">
        <is>
          <t>2026-03-30</t>
        </is>
      </c>
      <c r="R23" s="5" t="inlineStr">
        <is>
          <t>2026-05-10</t>
        </is>
      </c>
      <c r="S23" s="5" t="inlineStr">
        <is>
          <t>범죄,드라마,스릴러</t>
        </is>
      </c>
      <c r="T23" s="5" t="inlineStr">
        <is>
          <t>미국</t>
        </is>
      </c>
      <c r="U23" s="5" t="inlineStr">
        <is>
          <t>소니픽쳐스엔터테인먼트코리아주식회사극장배급지점</t>
        </is>
      </c>
    </row>
    <row r="24">
      <c r="A24" s="5" t="inlineStr">
        <is>
          <t>킬 빌: 더 홀 블러디 어페어</t>
        </is>
      </c>
      <c r="B24" s="5" t="inlineStr">
        <is>
          <t>2026-04-01</t>
        </is>
      </c>
      <c r="C24" s="5" t="inlineStr">
        <is>
          <t>2026-04-01</t>
        </is>
      </c>
      <c r="D24" s="5" t="inlineStr">
        <is>
          <t>신작</t>
        </is>
      </c>
      <c r="E24" s="5" t="inlineStr">
        <is>
          <t>실사 외화</t>
        </is>
      </c>
      <c r="F24" s="5" t="inlineStr">
        <is>
          <t>종영</t>
        </is>
      </c>
      <c r="G24" s="7" t="n">
        <v>19273</v>
      </c>
      <c r="H24" s="7" t="n">
        <v>15711</v>
      </c>
      <c r="I24" s="7" t="n">
        <v>88</v>
      </c>
      <c r="J24" s="7" t="n">
        <v>2923</v>
      </c>
      <c r="K24" s="8">
        <f>IFERROR(G24/H24,"")</f>
        <v/>
      </c>
      <c r="L24" s="13">
        <f>IFERROR(J24/H24,"")</f>
        <v/>
      </c>
      <c r="M24" s="7" t="n">
        <v>86</v>
      </c>
      <c r="N24" s="19" t="n">
        <v>25.8</v>
      </c>
      <c r="O24" s="19" t="n">
        <v>156</v>
      </c>
      <c r="P24" s="7" t="n">
        <v>10</v>
      </c>
      <c r="Q24" s="5" t="inlineStr">
        <is>
          <t>2026-03-16</t>
        </is>
      </c>
      <c r="R24" s="5" t="inlineStr">
        <is>
          <t>2026-05-24</t>
        </is>
      </c>
      <c r="S24" s="5" t="inlineStr">
        <is>
          <t>액션</t>
        </is>
      </c>
      <c r="T24" s="5" t="inlineStr">
        <is>
          <t>미국</t>
        </is>
      </c>
      <c r="U24" s="5" t="inlineStr">
        <is>
          <t>(주)누리픽쳐스</t>
        </is>
      </c>
    </row>
    <row r="25">
      <c r="A25" s="5" t="inlineStr">
        <is>
          <t>우리에게는 아직 내일이 있다</t>
        </is>
      </c>
      <c r="B25" s="5" t="inlineStr">
        <is>
          <t>2026-03-04</t>
        </is>
      </c>
      <c r="C25" s="5" t="inlineStr">
        <is>
          <t>2026-03-04</t>
        </is>
      </c>
      <c r="D25" s="5" t="inlineStr">
        <is>
          <t>신작</t>
        </is>
      </c>
      <c r="E25" s="5" t="inlineStr">
        <is>
          <t>실사 외화</t>
        </is>
      </c>
      <c r="F25" s="5" t="inlineStr">
        <is>
          <t>종영</t>
        </is>
      </c>
      <c r="G25" s="7" t="n">
        <v>19136</v>
      </c>
      <c r="H25" s="7" t="n">
        <v>11100</v>
      </c>
      <c r="I25" s="7" t="n">
        <v>82</v>
      </c>
      <c r="J25" s="7" t="n">
        <v>1448</v>
      </c>
      <c r="K25" s="8">
        <f>IFERROR(G25/H25,"")</f>
        <v/>
      </c>
      <c r="L25" s="13">
        <f>IFERROR(J25/H25,"")</f>
        <v/>
      </c>
      <c r="M25" s="7" t="n">
        <v>73</v>
      </c>
      <c r="N25" s="19" t="n">
        <v>21</v>
      </c>
      <c r="O25" s="19" t="n">
        <v>119</v>
      </c>
      <c r="P25" s="7" t="n">
        <v>12</v>
      </c>
      <c r="Q25" s="5" t="inlineStr">
        <is>
          <t>2026-02-23</t>
        </is>
      </c>
      <c r="R25" s="5" t="inlineStr">
        <is>
          <t>2026-05-17</t>
        </is>
      </c>
      <c r="S25" s="5" t="inlineStr">
        <is>
          <t>드라마</t>
        </is>
      </c>
      <c r="T25" s="5" t="inlineStr">
        <is>
          <t>이탈리아</t>
        </is>
      </c>
      <c r="U25" s="5" t="inlineStr">
        <is>
          <t>(주)콘텐츠판다</t>
        </is>
      </c>
    </row>
    <row r="26">
      <c r="A26" s="5" t="inlineStr">
        <is>
          <t>더 로즈: 완벽한 이혼</t>
        </is>
      </c>
      <c r="B26" s="5" t="inlineStr">
        <is>
          <t>2025-09-17</t>
        </is>
      </c>
      <c r="C26" s="5" t="inlineStr">
        <is>
          <t>2025-09-17</t>
        </is>
      </c>
      <c r="D26" s="5" t="inlineStr">
        <is>
          <t>신작</t>
        </is>
      </c>
      <c r="E26" s="5" t="inlineStr">
        <is>
          <t>실사 외화</t>
        </is>
      </c>
      <c r="F26" s="5" t="inlineStr">
        <is>
          <t>종영</t>
        </is>
      </c>
      <c r="G26" s="7" t="n">
        <v>18670</v>
      </c>
      <c r="H26" s="7" t="n">
        <v>54406</v>
      </c>
      <c r="I26" s="7" t="n">
        <v>167</v>
      </c>
      <c r="J26" s="7" t="n">
        <v>3185</v>
      </c>
      <c r="K26" s="8">
        <f>IFERROR(G26/H26,"")</f>
        <v/>
      </c>
      <c r="L26" s="13">
        <f>IFERROR(J26/H26,"")</f>
        <v/>
      </c>
      <c r="M26" s="7" t="n">
        <v>152</v>
      </c>
      <c r="N26" s="19" t="n">
        <v>77</v>
      </c>
      <c r="O26" s="19" t="n">
        <v>208</v>
      </c>
      <c r="P26" s="7" t="n">
        <v>6</v>
      </c>
      <c r="Q26" s="5" t="inlineStr">
        <is>
          <t>2025-09-08</t>
        </is>
      </c>
      <c r="R26" s="5" t="inlineStr">
        <is>
          <t>2025-10-19</t>
        </is>
      </c>
      <c r="S26" s="5" t="inlineStr">
        <is>
          <t>코미디,드라마</t>
        </is>
      </c>
      <c r="T26" s="5" t="inlineStr">
        <is>
          <t>미국</t>
        </is>
      </c>
      <c r="U26" s="5" t="inlineStr">
        <is>
          <t>월트디즈니컴퍼니코리아 유한책임회사</t>
        </is>
      </c>
    </row>
    <row r="27">
      <c r="A27" s="5" t="inlineStr">
        <is>
          <t>우견니</t>
        </is>
      </c>
      <c r="B27" s="5" t="inlineStr">
        <is>
          <t>2024-02-14</t>
        </is>
      </c>
      <c r="C27" s="5" t="inlineStr">
        <is>
          <t>2024-02-14</t>
        </is>
      </c>
      <c r="D27" s="5" t="inlineStr">
        <is>
          <t>신작</t>
        </is>
      </c>
      <c r="E27" s="5" t="inlineStr">
        <is>
          <t>실사 외화</t>
        </is>
      </c>
      <c r="F27" s="5" t="inlineStr">
        <is>
          <t>종영</t>
        </is>
      </c>
      <c r="G27" s="7" t="n">
        <v>17981</v>
      </c>
      <c r="H27" s="7" t="n">
        <v>59634</v>
      </c>
      <c r="I27" s="7" t="n">
        <v>143</v>
      </c>
      <c r="J27" s="7" t="n">
        <v>4638</v>
      </c>
      <c r="K27" s="8">
        <f>IFERROR(G27/H27,"")</f>
        <v/>
      </c>
      <c r="L27" s="13">
        <f>IFERROR(J27/H27,"")</f>
        <v/>
      </c>
      <c r="M27" s="7" t="n">
        <v>119</v>
      </c>
      <c r="N27" s="19" t="n">
        <v>35.7</v>
      </c>
      <c r="O27" s="19" t="n">
        <v>235</v>
      </c>
      <c r="P27" s="7" t="n">
        <v>9</v>
      </c>
      <c r="Q27" s="5" t="inlineStr">
        <is>
          <t>2024-01-29</t>
        </is>
      </c>
      <c r="R27" s="5" t="inlineStr">
        <is>
          <t>2024-03-31</t>
        </is>
      </c>
      <c r="S27" s="5" t="inlineStr">
        <is>
          <t>멜로/로맨스</t>
        </is>
      </c>
      <c r="T27" s="5" t="inlineStr">
        <is>
          <t>중국</t>
        </is>
      </c>
      <c r="U27" s="5" t="inlineStr">
        <is>
          <t>오드,홀리가든</t>
        </is>
      </c>
    </row>
    <row r="28">
      <c r="A28" s="5" t="inlineStr">
        <is>
          <t>영원</t>
        </is>
      </c>
      <c r="B28" s="5" t="inlineStr">
        <is>
          <t>2026-02-04</t>
        </is>
      </c>
      <c r="C28" s="5" t="inlineStr">
        <is>
          <t>2026-02-04</t>
        </is>
      </c>
      <c r="D28" s="5" t="inlineStr">
        <is>
          <t>신작</t>
        </is>
      </c>
      <c r="E28" s="5" t="inlineStr">
        <is>
          <t>실사 외화</t>
        </is>
      </c>
      <c r="F28" s="5" t="inlineStr">
        <is>
          <t>종영</t>
        </is>
      </c>
      <c r="G28" s="7" t="n">
        <v>17528</v>
      </c>
      <c r="H28" s="7" t="n">
        <v>26870</v>
      </c>
      <c r="I28" s="7" t="n">
        <v>120</v>
      </c>
      <c r="J28" s="7" t="n">
        <v>1087</v>
      </c>
      <c r="K28" s="8">
        <f>IFERROR(G28/H28,"")</f>
        <v/>
      </c>
      <c r="L28" s="13">
        <f>IFERROR(J28/H28,"")</f>
        <v/>
      </c>
      <c r="M28" s="7" t="n">
        <v>116</v>
      </c>
      <c r="N28" s="19" t="n">
        <v>32.3</v>
      </c>
      <c r="O28" s="19" t="n">
        <v>158</v>
      </c>
      <c r="P28" s="7" t="n">
        <v>10</v>
      </c>
      <c r="Q28" s="5" t="inlineStr">
        <is>
          <t>2026-01-26</t>
        </is>
      </c>
      <c r="R28" s="5" t="inlineStr">
        <is>
          <t>2026-04-05</t>
        </is>
      </c>
      <c r="S28" s="5" t="inlineStr">
        <is>
          <t>멜로/로맨스,코미디,판타지</t>
        </is>
      </c>
      <c r="T28" s="5" t="inlineStr">
        <is>
          <t>미국</t>
        </is>
      </c>
      <c r="U28" s="5" t="inlineStr">
        <is>
          <t>워터홀컴퍼니(주)</t>
        </is>
      </c>
    </row>
    <row r="29">
      <c r="A29" s="20" t="inlineStr">
        <is>
          <t>워페어</t>
        </is>
      </c>
      <c r="B29" s="20" t="inlineStr">
        <is>
          <t>2026-08-19</t>
        </is>
      </c>
      <c r="C29" s="20" t="inlineStr">
        <is>
          <t>2026-08-19</t>
        </is>
      </c>
      <c r="D29" s="20" t="inlineStr">
        <is>
          <t>신작</t>
        </is>
      </c>
      <c r="E29" s="20" t="inlineStr">
        <is>
          <t>실사 외화</t>
        </is>
      </c>
      <c r="F29" s="20" t="inlineStr">
        <is>
          <t>상영중(잠정)</t>
        </is>
      </c>
      <c r="G29" s="21" t="n">
        <v>17119</v>
      </c>
      <c r="H29" s="21" t="n">
        <v>45012</v>
      </c>
      <c r="I29" s="21" t="n">
        <v>199</v>
      </c>
      <c r="J29" s="21" t="n">
        <v>3815</v>
      </c>
      <c r="K29" s="22">
        <f>IFERROR(G29/H29,"")</f>
        <v/>
      </c>
      <c r="L29" s="23">
        <f>IFERROR(J29/H29,"")</f>
        <v/>
      </c>
      <c r="M29" s="21" t="n">
        <v>188</v>
      </c>
      <c r="N29" s="24" t="n">
        <v>115.9</v>
      </c>
      <c r="O29" s="24" t="n">
        <v>176</v>
      </c>
      <c r="P29" s="21" t="n">
        <v>4</v>
      </c>
      <c r="Q29" s="20" t="inlineStr">
        <is>
          <t>2026-08-03</t>
        </is>
      </c>
      <c r="R29" s="20" t="inlineStr">
        <is>
          <t>2026-08-30</t>
        </is>
      </c>
      <c r="S29" s="20" t="inlineStr">
        <is>
          <t>액션,드라마,전쟁</t>
        </is>
      </c>
      <c r="T29" s="20" t="inlineStr">
        <is>
          <t>미국</t>
        </is>
      </c>
      <c r="U29" s="20" t="inlineStr">
        <is>
          <t>주식회사 올랄라스토리</t>
        </is>
      </c>
    </row>
    <row r="30">
      <c r="A30" s="5" t="inlineStr">
        <is>
          <t>히어</t>
        </is>
      </c>
      <c r="B30" s="5" t="inlineStr">
        <is>
          <t>2025-02-19</t>
        </is>
      </c>
      <c r="C30" s="5" t="inlineStr">
        <is>
          <t>2025-02-19</t>
        </is>
      </c>
      <c r="D30" s="5" t="inlineStr">
        <is>
          <t>신작</t>
        </is>
      </c>
      <c r="E30" s="5" t="inlineStr">
        <is>
          <t>실사 외화</t>
        </is>
      </c>
      <c r="F30" s="5" t="inlineStr">
        <is>
          <t>종영</t>
        </is>
      </c>
      <c r="G30" s="7" t="n">
        <v>15435</v>
      </c>
      <c r="H30" s="7" t="n">
        <v>50640</v>
      </c>
      <c r="I30" s="7" t="n">
        <v>144</v>
      </c>
      <c r="J30" s="7" t="n">
        <v>3227</v>
      </c>
      <c r="K30" s="8">
        <f>IFERROR(G30/H30,"")</f>
        <v/>
      </c>
      <c r="L30" s="13">
        <f>IFERROR(J30/H30,"")</f>
        <v/>
      </c>
      <c r="M30" s="7" t="n">
        <v>112</v>
      </c>
      <c r="N30" s="19" t="n">
        <v>44.2</v>
      </c>
      <c r="O30" s="19" t="n">
        <v>212</v>
      </c>
      <c r="P30" s="7" t="n">
        <v>6</v>
      </c>
      <c r="Q30" s="5" t="inlineStr">
        <is>
          <t>2025-02-10</t>
        </is>
      </c>
      <c r="R30" s="5" t="inlineStr">
        <is>
          <t>2025-03-23</t>
        </is>
      </c>
      <c r="S30" s="5" t="inlineStr">
        <is>
          <t>드라마</t>
        </is>
      </c>
      <c r="T30" s="5" t="inlineStr">
        <is>
          <t>미국</t>
        </is>
      </c>
      <c r="U30" s="5" t="inlineStr">
        <is>
          <t>메가박스중앙(주),(주)이놀미디어</t>
        </is>
      </c>
    </row>
    <row r="31">
      <c r="A31" s="5" t="inlineStr">
        <is>
          <t>엑소시스트: 더 바티칸</t>
        </is>
      </c>
      <c r="B31" s="5" t="inlineStr">
        <is>
          <t>2023-05-10</t>
        </is>
      </c>
      <c r="C31" s="5" t="inlineStr">
        <is>
          <t>2023-05-10</t>
        </is>
      </c>
      <c r="D31" s="5" t="inlineStr">
        <is>
          <t>신작</t>
        </is>
      </c>
      <c r="E31" s="5" t="inlineStr">
        <is>
          <t>실사 외화</t>
        </is>
      </c>
      <c r="F31" s="5" t="inlineStr">
        <is>
          <t>종영</t>
        </is>
      </c>
      <c r="G31" s="7" t="n">
        <v>14639</v>
      </c>
      <c r="H31" s="7" t="n">
        <v>43011</v>
      </c>
      <c r="I31" s="7" t="n">
        <v>129</v>
      </c>
      <c r="J31" s="7" t="n">
        <v>2373</v>
      </c>
      <c r="K31" s="8">
        <f>IFERROR(G31/H31,"")</f>
        <v/>
      </c>
      <c r="L31" s="13">
        <f>IFERROR(J31/H31,"")</f>
        <v/>
      </c>
      <c r="M31" s="7" t="n">
        <v>127</v>
      </c>
      <c r="N31" s="19" t="n">
        <v>54.2</v>
      </c>
      <c r="O31" s="19" t="n">
        <v>224</v>
      </c>
      <c r="P31" s="7" t="n">
        <v>5</v>
      </c>
      <c r="Q31" s="5" t="inlineStr">
        <is>
          <t>2023-05-01</t>
        </is>
      </c>
      <c r="R31" s="5" t="inlineStr">
        <is>
          <t>2023-06-04</t>
        </is>
      </c>
      <c r="S31" s="5" t="inlineStr">
        <is>
          <t>공포(호러)</t>
        </is>
      </c>
      <c r="T31" s="5" t="inlineStr">
        <is>
          <t>미국</t>
        </is>
      </c>
      <c r="U31" s="5" t="inlineStr">
        <is>
          <t>소니픽쳐스엔터테인먼트코리아주식회사극장배급지점</t>
        </is>
      </c>
    </row>
    <row r="32">
      <c r="A32" s="5" t="inlineStr">
        <is>
          <t>나의 행복한 결혼</t>
        </is>
      </c>
      <c r="B32" s="5" t="inlineStr">
        <is>
          <t>2023-10-11</t>
        </is>
      </c>
      <c r="C32" s="5" t="inlineStr">
        <is>
          <t>2023-10-11</t>
        </is>
      </c>
      <c r="D32" s="5" t="inlineStr">
        <is>
          <t>신작</t>
        </is>
      </c>
      <c r="E32" s="5" t="inlineStr">
        <is>
          <t>실사 외화</t>
        </is>
      </c>
      <c r="F32" s="5" t="inlineStr">
        <is>
          <t>종영</t>
        </is>
      </c>
      <c r="G32" s="7" t="n">
        <v>11795</v>
      </c>
      <c r="H32" s="7" t="n">
        <v>35254</v>
      </c>
      <c r="I32" s="7" t="n">
        <v>107</v>
      </c>
      <c r="J32" s="7" t="n">
        <v>2460</v>
      </c>
      <c r="K32" s="8">
        <f>IFERROR(G32/H32,"")</f>
        <v/>
      </c>
      <c r="L32" s="13">
        <f>IFERROR(J32/H32,"")</f>
        <v/>
      </c>
      <c r="M32" s="7" t="n">
        <v>106</v>
      </c>
      <c r="N32" s="19" t="n">
        <v>37.8</v>
      </c>
      <c r="O32" s="19" t="n">
        <v>211</v>
      </c>
      <c r="P32" s="7" t="n">
        <v>6</v>
      </c>
      <c r="Q32" s="5" t="inlineStr">
        <is>
          <t>2023-10-09</t>
        </is>
      </c>
      <c r="R32" s="5" t="inlineStr">
        <is>
          <t>2023-11-19</t>
        </is>
      </c>
      <c r="S32" s="5" t="inlineStr">
        <is>
          <t>판타지,멜로/로맨스</t>
        </is>
      </c>
      <c r="T32" s="5" t="inlineStr">
        <is>
          <t>일본</t>
        </is>
      </c>
      <c r="U32" s="5" t="inlineStr">
        <is>
          <t>(주)디스테이션</t>
        </is>
      </c>
    </row>
    <row r="33">
      <c r="A33" s="5" t="inlineStr">
        <is>
          <t>언젠틀 오퍼레이션</t>
        </is>
      </c>
      <c r="B33" s="5" t="inlineStr">
        <is>
          <t>2025-03-19</t>
        </is>
      </c>
      <c r="C33" s="5" t="inlineStr">
        <is>
          <t>2025-03-19</t>
        </is>
      </c>
      <c r="D33" s="5" t="inlineStr">
        <is>
          <t>신작</t>
        </is>
      </c>
      <c r="E33" s="5" t="inlineStr">
        <is>
          <t>실사 외화</t>
        </is>
      </c>
      <c r="F33" s="5" t="inlineStr">
        <is>
          <t>종영</t>
        </is>
      </c>
      <c r="G33" s="7" t="n">
        <v>10987</v>
      </c>
      <c r="H33" s="7" t="n">
        <v>35148</v>
      </c>
      <c r="I33" s="7" t="n">
        <v>134</v>
      </c>
      <c r="J33" s="7" t="n">
        <v>1606</v>
      </c>
      <c r="K33" s="8">
        <f>IFERROR(G33/H33,"")</f>
        <v/>
      </c>
      <c r="L33" s="13">
        <f>IFERROR(J33/H33,"")</f>
        <v/>
      </c>
      <c r="M33" s="7" t="n">
        <v>133</v>
      </c>
      <c r="N33" s="19" t="n">
        <v>47.1</v>
      </c>
      <c r="O33" s="19" t="n">
        <v>184</v>
      </c>
      <c r="P33" s="7" t="n">
        <v>6</v>
      </c>
      <c r="Q33" s="5" t="inlineStr">
        <is>
          <t>2025-03-10</t>
        </is>
      </c>
      <c r="R33" s="5" t="inlineStr">
        <is>
          <t>2025-04-20</t>
        </is>
      </c>
      <c r="S33" s="5" t="inlineStr">
        <is>
          <t>액션,코미디</t>
        </is>
      </c>
      <c r="T33" s="5" t="inlineStr">
        <is>
          <t>영국</t>
        </is>
      </c>
      <c r="U33" s="5" t="inlineStr">
        <is>
          <t>메가박스중앙(주)</t>
        </is>
      </c>
    </row>
    <row r="34">
      <c r="A34" s="5" t="inlineStr">
        <is>
          <t>몽키맨</t>
        </is>
      </c>
      <c r="B34" s="5" t="inlineStr">
        <is>
          <t>2024-06-19</t>
        </is>
      </c>
      <c r="C34" s="5" t="inlineStr">
        <is>
          <t>2024-06-19</t>
        </is>
      </c>
      <c r="D34" s="5" t="inlineStr">
        <is>
          <t>신작</t>
        </is>
      </c>
      <c r="E34" s="5" t="inlineStr">
        <is>
          <t>실사 외화</t>
        </is>
      </c>
      <c r="F34" s="5" t="inlineStr">
        <is>
          <t>종영</t>
        </is>
      </c>
      <c r="G34" s="7" t="n">
        <v>10490</v>
      </c>
      <c r="H34" s="7" t="n">
        <v>35002</v>
      </c>
      <c r="I34" s="7" t="n">
        <v>146</v>
      </c>
      <c r="J34" s="7" t="n">
        <v>1196</v>
      </c>
      <c r="K34" s="8">
        <f>IFERROR(G34/H34,"")</f>
        <v/>
      </c>
      <c r="L34" s="13">
        <f>IFERROR(J34/H34,"")</f>
        <v/>
      </c>
      <c r="M34" s="7" t="n">
        <v>75</v>
      </c>
      <c r="N34" s="19" t="n">
        <v>34.6</v>
      </c>
      <c r="O34" s="19" t="n">
        <v>186</v>
      </c>
      <c r="P34" s="7" t="n">
        <v>5</v>
      </c>
      <c r="Q34" s="5" t="inlineStr">
        <is>
          <t>2024-06-10</t>
        </is>
      </c>
      <c r="R34" s="5" t="inlineStr">
        <is>
          <t>2024-07-14</t>
        </is>
      </c>
      <c r="S34" s="5" t="inlineStr">
        <is>
          <t>액션,스릴러</t>
        </is>
      </c>
      <c r="T34" s="5" t="inlineStr">
        <is>
          <t>미국</t>
        </is>
      </c>
      <c r="U34" s="5" t="inlineStr">
        <is>
          <t>유니버설픽쳐스인터내셔널 코리아(유)</t>
        </is>
      </c>
    </row>
    <row r="35">
      <c r="A35" s="5" t="inlineStr">
        <is>
          <t>에드워드 호퍼</t>
        </is>
      </c>
      <c r="B35" s="5" t="inlineStr">
        <is>
          <t>2024-11-27</t>
        </is>
      </c>
      <c r="C35" s="5" t="inlineStr">
        <is>
          <t>2024-11-27</t>
        </is>
      </c>
      <c r="D35" s="5" t="inlineStr">
        <is>
          <t>신작</t>
        </is>
      </c>
      <c r="E35" s="5" t="inlineStr">
        <is>
          <t>실사 외화</t>
        </is>
      </c>
      <c r="F35" s="5" t="inlineStr">
        <is>
          <t>종영</t>
        </is>
      </c>
      <c r="G35" s="7" t="n">
        <v>10471</v>
      </c>
      <c r="H35" s="7" t="n">
        <v>15473</v>
      </c>
      <c r="I35" s="7" t="n">
        <v>111</v>
      </c>
      <c r="J35" s="7" t="n">
        <v>1422</v>
      </c>
      <c r="K35" s="8">
        <f>IFERROR(G35/H35,"")</f>
        <v/>
      </c>
      <c r="L35" s="13">
        <f>IFERROR(J35/H35,"")</f>
        <v/>
      </c>
      <c r="M35" s="7" t="n">
        <v>77</v>
      </c>
      <c r="N35" s="19" t="n">
        <v>30.8</v>
      </c>
      <c r="O35" s="19" t="n">
        <v>125</v>
      </c>
      <c r="P35" s="7" t="n">
        <v>5</v>
      </c>
      <c r="Q35" s="5" t="inlineStr">
        <is>
          <t>2024-11-25</t>
        </is>
      </c>
      <c r="R35" s="5" t="inlineStr">
        <is>
          <t>2024-12-29</t>
        </is>
      </c>
      <c r="S35" s="5" t="inlineStr">
        <is>
          <t>다큐멘터리</t>
        </is>
      </c>
      <c r="T35" s="5" t="inlineStr">
        <is>
          <t>영국</t>
        </is>
      </c>
      <c r="U35" s="5" t="inlineStr">
        <is>
          <t>영화사빅</t>
        </is>
      </c>
    </row>
    <row r="36">
      <c r="A36" s="5" t="inlineStr">
        <is>
          <t>대결! 애니메이션</t>
        </is>
      </c>
      <c r="B36" s="5" t="inlineStr">
        <is>
          <t>2024-03-06</t>
        </is>
      </c>
      <c r="C36" s="5" t="inlineStr">
        <is>
          <t>2024-03-06</t>
        </is>
      </c>
      <c r="D36" s="5" t="inlineStr">
        <is>
          <t>신작</t>
        </is>
      </c>
      <c r="E36" s="5" t="inlineStr">
        <is>
          <t>실사 외화</t>
        </is>
      </c>
      <c r="F36" s="5" t="inlineStr">
        <is>
          <t>종영</t>
        </is>
      </c>
      <c r="G36" s="7" t="n">
        <v>10118</v>
      </c>
      <c r="H36" s="7" t="n">
        <v>21316</v>
      </c>
      <c r="I36" s="7" t="n">
        <v>103</v>
      </c>
      <c r="J36" s="7" t="n">
        <v>2122</v>
      </c>
      <c r="K36" s="8">
        <f>IFERROR(G36/H36,"")</f>
        <v/>
      </c>
      <c r="L36" s="13">
        <f>IFERROR(J36/H36,"")</f>
        <v/>
      </c>
      <c r="M36" s="7" t="n">
        <v>102</v>
      </c>
      <c r="N36" s="19" t="n">
        <v>25.8</v>
      </c>
      <c r="O36" s="19" t="n">
        <v>157</v>
      </c>
      <c r="P36" s="7" t="n">
        <v>9</v>
      </c>
      <c r="Q36" s="5" t="inlineStr">
        <is>
          <t>2024-02-19</t>
        </is>
      </c>
      <c r="R36" s="5" t="inlineStr">
        <is>
          <t>2024-04-21</t>
        </is>
      </c>
      <c r="S36" s="5" t="inlineStr">
        <is>
          <t>드라마</t>
        </is>
      </c>
      <c r="T36" s="5" t="inlineStr">
        <is>
          <t>일본</t>
        </is>
      </c>
      <c r="U36" s="5" t="inlineStr">
        <is>
          <t>(주)빌리언스플러스,(주)블루라벨픽쳐스</t>
        </is>
      </c>
    </row>
    <row r="37">
      <c r="A37" s="5" t="inlineStr">
        <is>
          <t>금지된 장난</t>
        </is>
      </c>
      <c r="B37" s="5" t="inlineStr">
        <is>
          <t>2024-06-05</t>
        </is>
      </c>
      <c r="C37" s="5" t="inlineStr">
        <is>
          <t>2024-06-05</t>
        </is>
      </c>
      <c r="D37" s="5" t="inlineStr">
        <is>
          <t>신작</t>
        </is>
      </c>
      <c r="E37" s="5" t="inlineStr">
        <is>
          <t>실사 외화</t>
        </is>
      </c>
      <c r="F37" s="5" t="inlineStr">
        <is>
          <t>종영</t>
        </is>
      </c>
      <c r="G37" s="7" t="n">
        <v>10064</v>
      </c>
      <c r="H37" s="7" t="n">
        <v>26902</v>
      </c>
      <c r="I37" s="7" t="n">
        <v>118</v>
      </c>
      <c r="J37" s="7" t="n">
        <v>2228</v>
      </c>
      <c r="K37" s="8">
        <f>IFERROR(G37/H37,"")</f>
        <v/>
      </c>
      <c r="L37" s="13">
        <f>IFERROR(J37/H37,"")</f>
        <v/>
      </c>
      <c r="M37" s="7" t="n">
        <v>74</v>
      </c>
      <c r="N37" s="19" t="n">
        <v>42.5</v>
      </c>
      <c r="O37" s="19" t="n">
        <v>172</v>
      </c>
      <c r="P37" s="7" t="n">
        <v>4</v>
      </c>
      <c r="Q37" s="5" t="inlineStr">
        <is>
          <t>2024-06-03</t>
        </is>
      </c>
      <c r="R37" s="5" t="inlineStr">
        <is>
          <t>2024-06-30</t>
        </is>
      </c>
      <c r="S37" s="5" t="inlineStr">
        <is>
          <t>공포(호러)</t>
        </is>
      </c>
      <c r="T37" s="5" t="inlineStr">
        <is>
          <t>일본</t>
        </is>
      </c>
      <c r="U37" s="5" t="inlineStr">
        <is>
          <t>와이드 릴리즈(주)</t>
        </is>
      </c>
    </row>
    <row r="38">
      <c r="A38" s="5" t="inlineStr">
        <is>
          <t>미야자키 하야오의 그대들은 어떻게 살 것인가</t>
        </is>
      </c>
      <c r="B38" s="5" t="inlineStr">
        <is>
          <t>2026-04-15</t>
        </is>
      </c>
      <c r="C38" s="5" t="inlineStr">
        <is>
          <t>2026-04-15</t>
        </is>
      </c>
      <c r="D38" s="5" t="inlineStr">
        <is>
          <t>신작</t>
        </is>
      </c>
      <c r="E38" s="5" t="inlineStr">
        <is>
          <t>실사 외화</t>
        </is>
      </c>
      <c r="F38" s="5" t="inlineStr">
        <is>
          <t>종영</t>
        </is>
      </c>
      <c r="G38" s="7" t="n">
        <v>8404</v>
      </c>
      <c r="H38" s="7" t="n">
        <v>12149</v>
      </c>
      <c r="I38" s="7" t="n">
        <v>72</v>
      </c>
      <c r="J38" s="7" t="n">
        <v>1414</v>
      </c>
      <c r="K38" s="8">
        <f>IFERROR(G38/H38,"")</f>
        <v/>
      </c>
      <c r="L38" s="13">
        <f>IFERROR(J38/H38,"")</f>
        <v/>
      </c>
      <c r="M38" s="7" t="n">
        <v>70</v>
      </c>
      <c r="N38" s="19" t="n">
        <v>19</v>
      </c>
      <c r="O38" s="19" t="n">
        <v>137</v>
      </c>
      <c r="P38" s="7" t="n">
        <v>9</v>
      </c>
      <c r="Q38" s="5" t="inlineStr">
        <is>
          <t>2026-03-30</t>
        </is>
      </c>
      <c r="R38" s="5" t="inlineStr">
        <is>
          <t>2026-05-31</t>
        </is>
      </c>
      <c r="S38" s="5" t="inlineStr">
        <is>
          <t>다큐멘터리</t>
        </is>
      </c>
      <c r="T38" s="5" t="inlineStr">
        <is>
          <t>일본</t>
        </is>
      </c>
      <c r="U38" s="5" t="inlineStr">
        <is>
          <t>(주)디스테이션</t>
        </is>
      </c>
    </row>
    <row r="39">
      <c r="A39" s="5" t="inlineStr">
        <is>
          <t>굿 보이</t>
        </is>
      </c>
      <c r="B39" s="5" t="inlineStr">
        <is>
          <t>2025-10-22</t>
        </is>
      </c>
      <c r="C39" s="5" t="inlineStr">
        <is>
          <t>2025-10-22</t>
        </is>
      </c>
      <c r="D39" s="5" t="inlineStr">
        <is>
          <t>신작</t>
        </is>
      </c>
      <c r="E39" s="5" t="inlineStr">
        <is>
          <t>실사 외화</t>
        </is>
      </c>
      <c r="F39" s="5" t="inlineStr">
        <is>
          <t>종영</t>
        </is>
      </c>
      <c r="G39" s="7" t="n">
        <v>8338</v>
      </c>
      <c r="H39" s="7" t="n">
        <v>23600</v>
      </c>
      <c r="I39" s="7" t="n">
        <v>140</v>
      </c>
      <c r="J39" s="7" t="n">
        <v>1402</v>
      </c>
      <c r="K39" s="8">
        <f>IFERROR(G39/H39,"")</f>
        <v/>
      </c>
      <c r="L39" s="13">
        <f>IFERROR(J39/H39,"")</f>
        <v/>
      </c>
      <c r="M39" s="7" t="n">
        <v>139</v>
      </c>
      <c r="N39" s="19" t="n">
        <v>47</v>
      </c>
      <c r="O39" s="19" t="n">
        <v>147</v>
      </c>
      <c r="P39" s="7" t="n">
        <v>5</v>
      </c>
      <c r="Q39" s="5" t="inlineStr">
        <is>
          <t>2025-10-20</t>
        </is>
      </c>
      <c r="R39" s="5" t="inlineStr">
        <is>
          <t>2025-11-23</t>
        </is>
      </c>
      <c r="S39" s="5" t="inlineStr">
        <is>
          <t>스릴러,공포(호러)</t>
        </is>
      </c>
      <c r="T39" s="5" t="inlineStr">
        <is>
          <t>미국</t>
        </is>
      </c>
      <c r="U39" s="5" t="inlineStr">
        <is>
          <t>찬란,주식회사 로아앤코홀딩스</t>
        </is>
      </c>
    </row>
    <row r="40">
      <c r="A40" s="5" t="inlineStr">
        <is>
          <t>마작</t>
        </is>
      </c>
      <c r="B40" s="5" t="inlineStr">
        <is>
          <t>2025-10-15</t>
        </is>
      </c>
      <c r="C40" s="5" t="inlineStr">
        <is>
          <t>2025-10-15</t>
        </is>
      </c>
      <c r="D40" s="5" t="inlineStr">
        <is>
          <t>신작</t>
        </is>
      </c>
      <c r="E40" s="5" t="inlineStr">
        <is>
          <t>실사 외화</t>
        </is>
      </c>
      <c r="F40" s="5" t="inlineStr">
        <is>
          <t>종영</t>
        </is>
      </c>
      <c r="G40" s="7" t="n">
        <v>7363</v>
      </c>
      <c r="H40" s="7" t="n">
        <v>18072</v>
      </c>
      <c r="I40" s="7" t="n">
        <v>108</v>
      </c>
      <c r="J40" s="7" t="n">
        <v>613</v>
      </c>
      <c r="K40" s="8">
        <f>IFERROR(G40/H40,"")</f>
        <v/>
      </c>
      <c r="L40" s="13">
        <f>IFERROR(J40/H40,"")</f>
        <v/>
      </c>
      <c r="M40" s="7" t="n">
        <v>95</v>
      </c>
      <c r="N40" s="19" t="n">
        <v>26.6</v>
      </c>
      <c r="O40" s="19" t="n">
        <v>126</v>
      </c>
      <c r="P40" s="7" t="n">
        <v>9</v>
      </c>
      <c r="Q40" s="5" t="inlineStr">
        <is>
          <t>2025-09-29</t>
        </is>
      </c>
      <c r="R40" s="5" t="inlineStr">
        <is>
          <t>2025-11-30</t>
        </is>
      </c>
      <c r="S40" s="5" t="inlineStr">
        <is>
          <t>드라마</t>
        </is>
      </c>
      <c r="T40" s="5" t="inlineStr">
        <is>
          <t>대만</t>
        </is>
      </c>
      <c r="U40" s="5" t="inlineStr">
        <is>
          <t>(주)디스테이션</t>
        </is>
      </c>
    </row>
    <row r="41">
      <c r="A41" s="5" t="inlineStr">
        <is>
          <t>#진상을 말씀드립니다</t>
        </is>
      </c>
      <c r="B41" s="5" t="inlineStr">
        <is>
          <t>2025-09-24</t>
        </is>
      </c>
      <c r="C41" s="5" t="inlineStr">
        <is>
          <t>2025-09-24</t>
        </is>
      </c>
      <c r="D41" s="5" t="inlineStr">
        <is>
          <t>신작</t>
        </is>
      </c>
      <c r="E41" s="5" t="inlineStr">
        <is>
          <t>실사 외화</t>
        </is>
      </c>
      <c r="F41" s="5" t="inlineStr">
        <is>
          <t>종영</t>
        </is>
      </c>
      <c r="G41" s="7" t="n">
        <v>7002</v>
      </c>
      <c r="H41" s="7" t="n">
        <v>14526</v>
      </c>
      <c r="I41" s="7" t="n">
        <v>106</v>
      </c>
      <c r="J41" s="7" t="n">
        <v>895</v>
      </c>
      <c r="K41" s="8">
        <f>IFERROR(G41/H41,"")</f>
        <v/>
      </c>
      <c r="L41" s="13">
        <f>IFERROR(J41/H41,"")</f>
        <v/>
      </c>
      <c r="M41" s="7" t="n">
        <v>103</v>
      </c>
      <c r="N41" s="19" t="n">
        <v>23.6</v>
      </c>
      <c r="O41" s="19" t="n">
        <v>132</v>
      </c>
      <c r="P41" s="7" t="n">
        <v>9</v>
      </c>
      <c r="Q41" s="5" t="inlineStr">
        <is>
          <t>2025-09-08</t>
        </is>
      </c>
      <c r="R41" s="5" t="inlineStr">
        <is>
          <t>2025-11-09</t>
        </is>
      </c>
      <c r="S41" s="5" t="inlineStr">
        <is>
          <t>미스터리,스릴러,드라마</t>
        </is>
      </c>
      <c r="T41" s="5" t="inlineStr">
        <is>
          <t>일본</t>
        </is>
      </c>
      <c r="U41" s="5" t="inlineStr">
        <is>
          <t>주식회사 로아앤코홀딩스,(주)영화사 안다미로</t>
        </is>
      </c>
    </row>
    <row r="42">
      <c r="A42" s="5" t="inlineStr">
        <is>
          <t>파이널 피스</t>
        </is>
      </c>
      <c r="B42" s="5" t="inlineStr">
        <is>
          <t>2026-05-27</t>
        </is>
      </c>
      <c r="C42" s="5" t="inlineStr">
        <is>
          <t>2026-05-27</t>
        </is>
      </c>
      <c r="D42" s="5" t="inlineStr">
        <is>
          <t>신작</t>
        </is>
      </c>
      <c r="E42" s="5" t="inlineStr">
        <is>
          <t>실사 외화</t>
        </is>
      </c>
      <c r="F42" s="5" t="inlineStr">
        <is>
          <t>종영</t>
        </is>
      </c>
      <c r="G42" s="7" t="n">
        <v>6982</v>
      </c>
      <c r="H42" s="7" t="n">
        <v>7759</v>
      </c>
      <c r="I42" s="7" t="n">
        <v>66</v>
      </c>
      <c r="J42" s="7" t="n">
        <v>204</v>
      </c>
      <c r="K42" s="8">
        <f>IFERROR(G42/H42,"")</f>
        <v/>
      </c>
      <c r="L42" s="13">
        <f>IFERROR(J42/H42,"")</f>
        <v/>
      </c>
      <c r="M42" s="7" t="n">
        <v>65</v>
      </c>
      <c r="N42" s="19" t="n">
        <v>30.9</v>
      </c>
      <c r="O42" s="19" t="n">
        <v>124</v>
      </c>
      <c r="P42" s="7" t="n">
        <v>4</v>
      </c>
      <c r="Q42" s="5" t="inlineStr">
        <is>
          <t>2026-05-18</t>
        </is>
      </c>
      <c r="R42" s="5" t="inlineStr">
        <is>
          <t>2026-06-14</t>
        </is>
      </c>
      <c r="S42" s="5" t="inlineStr">
        <is>
          <t>미스터리,드라마</t>
        </is>
      </c>
      <c r="T42" s="5" t="inlineStr">
        <is>
          <t>일본</t>
        </is>
      </c>
      <c r="U42" s="5" t="inlineStr">
        <is>
          <t>(주)디스테이션</t>
        </is>
      </c>
    </row>
    <row r="43">
      <c r="A43" s="5" t="inlineStr">
        <is>
          <t>기괴도</t>
        </is>
      </c>
      <c r="B43" s="5" t="inlineStr">
        <is>
          <t>2024-06-12</t>
        </is>
      </c>
      <c r="C43" s="5" t="inlineStr">
        <is>
          <t>2024-06-12</t>
        </is>
      </c>
      <c r="D43" s="5" t="inlineStr">
        <is>
          <t>신작</t>
        </is>
      </c>
      <c r="E43" s="5" t="inlineStr">
        <is>
          <t>실사 외화</t>
        </is>
      </c>
      <c r="F43" s="5" t="inlineStr">
        <is>
          <t>종영</t>
        </is>
      </c>
      <c r="G43" s="7" t="n">
        <v>6912</v>
      </c>
      <c r="H43" s="7" t="n">
        <v>18104</v>
      </c>
      <c r="I43" s="7" t="n">
        <v>104</v>
      </c>
      <c r="J43" s="7" t="n">
        <v>1682</v>
      </c>
      <c r="K43" s="8">
        <f>IFERROR(G43/H43,"")</f>
        <v/>
      </c>
      <c r="L43" s="13">
        <f>IFERROR(J43/H43,"")</f>
        <v/>
      </c>
      <c r="M43" s="7" t="n">
        <v>83</v>
      </c>
      <c r="N43" s="19" t="n">
        <v>36.5</v>
      </c>
      <c r="O43" s="19" t="n">
        <v>149</v>
      </c>
      <c r="P43" s="7" t="n">
        <v>4</v>
      </c>
      <c r="Q43" s="5" t="inlineStr">
        <is>
          <t>2024-06-10</t>
        </is>
      </c>
      <c r="R43" s="5" t="inlineStr">
        <is>
          <t>2024-07-07</t>
        </is>
      </c>
      <c r="S43" s="5" t="inlineStr">
        <is>
          <t>공포(호러)</t>
        </is>
      </c>
      <c r="T43" s="5" t="inlineStr">
        <is>
          <t>일본</t>
        </is>
      </c>
      <c r="U43" s="5" t="inlineStr">
        <is>
          <t>와이드 릴리즈(주)</t>
        </is>
      </c>
    </row>
    <row r="44">
      <c r="A44" s="5" t="inlineStr">
        <is>
          <t>장난을 잘 치는 타카기 양</t>
        </is>
      </c>
      <c r="B44" s="5" t="inlineStr">
        <is>
          <t>2025-03-05</t>
        </is>
      </c>
      <c r="C44" s="5" t="inlineStr">
        <is>
          <t>2025-03-05</t>
        </is>
      </c>
      <c r="D44" s="5" t="inlineStr">
        <is>
          <t>신작</t>
        </is>
      </c>
      <c r="E44" s="5" t="inlineStr">
        <is>
          <t>실사 외화</t>
        </is>
      </c>
      <c r="F44" s="5" t="inlineStr">
        <is>
          <t>종영</t>
        </is>
      </c>
      <c r="G44" s="7" t="n">
        <v>6595</v>
      </c>
      <c r="H44" s="7" t="n">
        <v>29660</v>
      </c>
      <c r="I44" s="7" t="n">
        <v>127</v>
      </c>
      <c r="J44" s="7" t="n">
        <v>1036</v>
      </c>
      <c r="K44" s="8">
        <f>IFERROR(G44/H44,"")</f>
        <v/>
      </c>
      <c r="L44" s="13">
        <f>IFERROR(J44/H44,"")</f>
        <v/>
      </c>
      <c r="M44" s="7" t="n">
        <v>86</v>
      </c>
      <c r="N44" s="19" t="n">
        <v>39.3</v>
      </c>
      <c r="O44" s="19" t="n">
        <v>164</v>
      </c>
      <c r="P44" s="7" t="n">
        <v>6</v>
      </c>
      <c r="Q44" s="5" t="inlineStr">
        <is>
          <t>2025-02-24</t>
        </is>
      </c>
      <c r="R44" s="5" t="inlineStr">
        <is>
          <t>2025-04-06</t>
        </is>
      </c>
      <c r="S44" s="5" t="inlineStr">
        <is>
          <t>멜로/로맨스,코미디</t>
        </is>
      </c>
      <c r="T44" s="5" t="inlineStr">
        <is>
          <t>일본</t>
        </is>
      </c>
      <c r="U44" s="5" t="inlineStr">
        <is>
          <t>TCO(주)더콘텐츠온</t>
        </is>
      </c>
    </row>
    <row r="45">
      <c r="A45" s="5" t="inlineStr">
        <is>
          <t>피어스</t>
        </is>
      </c>
      <c r="B45" s="5" t="inlineStr">
        <is>
          <t>2026-05-13</t>
        </is>
      </c>
      <c r="C45" s="5" t="inlineStr">
        <is>
          <t>2026-05-13</t>
        </is>
      </c>
      <c r="D45" s="5" t="inlineStr">
        <is>
          <t>신작</t>
        </is>
      </c>
      <c r="E45" s="5" t="inlineStr">
        <is>
          <t>실사 외화</t>
        </is>
      </c>
      <c r="F45" s="5" t="inlineStr">
        <is>
          <t>종영</t>
        </is>
      </c>
      <c r="G45" s="7" t="n">
        <v>6142</v>
      </c>
      <c r="H45" s="7" t="n">
        <v>15665</v>
      </c>
      <c r="I45" s="7" t="n">
        <v>96</v>
      </c>
      <c r="J45" s="7" t="n">
        <v>988</v>
      </c>
      <c r="K45" s="8">
        <f>IFERROR(G45/H45,"")</f>
        <v/>
      </c>
      <c r="L45" s="13">
        <f>IFERROR(J45/H45,"")</f>
        <v/>
      </c>
      <c r="M45" s="7" t="n">
        <v>91</v>
      </c>
      <c r="N45" s="19" t="n">
        <v>20.1</v>
      </c>
      <c r="O45" s="19" t="n">
        <v>123</v>
      </c>
      <c r="P45" s="7" t="n">
        <v>6</v>
      </c>
      <c r="Q45" s="5" t="inlineStr">
        <is>
          <t>2026-05-04</t>
        </is>
      </c>
      <c r="R45" s="5" t="inlineStr">
        <is>
          <t>2026-06-14</t>
        </is>
      </c>
      <c r="S45" s="5" t="inlineStr">
        <is>
          <t>드라마,스릴러</t>
        </is>
      </c>
      <c r="T45" s="5" t="inlineStr">
        <is>
          <t>싱가포르</t>
        </is>
      </c>
      <c r="U45" s="5" t="inlineStr">
        <is>
          <t>(주)영화특별시에스엠씨</t>
        </is>
      </c>
    </row>
    <row r="46">
      <c r="A46" s="5" t="inlineStr">
        <is>
          <t>칸다하</t>
        </is>
      </c>
      <c r="B46" s="5" t="inlineStr">
        <is>
          <t>2023-09-20</t>
        </is>
      </c>
      <c r="C46" s="5" t="inlineStr">
        <is>
          <t>2023-09-20</t>
        </is>
      </c>
      <c r="D46" s="5" t="inlineStr">
        <is>
          <t>신작</t>
        </is>
      </c>
      <c r="E46" s="5" t="inlineStr">
        <is>
          <t>실사 외화</t>
        </is>
      </c>
      <c r="F46" s="5" t="inlineStr">
        <is>
          <t>종영</t>
        </is>
      </c>
      <c r="G46" s="7" t="n">
        <v>5949</v>
      </c>
      <c r="H46" s="7" t="n">
        <v>17605</v>
      </c>
      <c r="I46" s="7" t="n">
        <v>78</v>
      </c>
      <c r="J46" s="7" t="n">
        <v>1203</v>
      </c>
      <c r="K46" s="8">
        <f>IFERROR(G46/H46,"")</f>
        <v/>
      </c>
      <c r="L46" s="13">
        <f>IFERROR(J46/H46,"")</f>
        <v/>
      </c>
      <c r="M46" s="7" t="n">
        <v>78</v>
      </c>
      <c r="N46" s="19" t="n">
        <v>31.9</v>
      </c>
      <c r="O46" s="19" t="n">
        <v>190</v>
      </c>
      <c r="P46" s="7" t="n">
        <v>3</v>
      </c>
      <c r="Q46" s="5" t="inlineStr">
        <is>
          <t>2023-09-18</t>
        </is>
      </c>
      <c r="R46" s="5" t="inlineStr">
        <is>
          <t>2023-10-08</t>
        </is>
      </c>
      <c r="S46" s="5" t="inlineStr">
        <is>
          <t>스릴러,액션</t>
        </is>
      </c>
      <c r="T46" s="5" t="inlineStr">
        <is>
          <t>미국</t>
        </is>
      </c>
      <c r="U46" s="5" t="inlineStr">
        <is>
          <t>(주)누리픽쳐스</t>
        </is>
      </c>
    </row>
    <row r="47">
      <c r="A47" s="5" t="inlineStr">
        <is>
          <t>킹덤4: 대장군의 귀환</t>
        </is>
      </c>
      <c r="B47" s="5" t="inlineStr">
        <is>
          <t>2024-11-20</t>
        </is>
      </c>
      <c r="C47" s="5" t="inlineStr">
        <is>
          <t>2024-11-20</t>
        </is>
      </c>
      <c r="D47" s="5" t="inlineStr">
        <is>
          <t>신작</t>
        </is>
      </c>
      <c r="E47" s="5" t="inlineStr">
        <is>
          <t>실사 외화</t>
        </is>
      </c>
      <c r="F47" s="5" t="inlineStr">
        <is>
          <t>종영</t>
        </is>
      </c>
      <c r="G47" s="7" t="n">
        <v>4380</v>
      </c>
      <c r="H47" s="7" t="n">
        <v>12227</v>
      </c>
      <c r="I47" s="7" t="n">
        <v>88</v>
      </c>
      <c r="J47" s="7" t="n">
        <v>862</v>
      </c>
      <c r="K47" s="8">
        <f>IFERROR(G47/H47,"")</f>
        <v/>
      </c>
      <c r="L47" s="13">
        <f>IFERROR(J47/H47,"")</f>
        <v/>
      </c>
      <c r="M47" s="7" t="n">
        <v>88</v>
      </c>
      <c r="N47" s="19" t="n">
        <v>32.1</v>
      </c>
      <c r="O47" s="19" t="n">
        <v>126</v>
      </c>
      <c r="P47" s="7" t="n">
        <v>5</v>
      </c>
      <c r="Q47" s="5" t="inlineStr">
        <is>
          <t>2024-11-11</t>
        </is>
      </c>
      <c r="R47" s="5" t="inlineStr">
        <is>
          <t>2024-12-15</t>
        </is>
      </c>
      <c r="S47" s="5" t="inlineStr">
        <is>
          <t>액션,전쟁</t>
        </is>
      </c>
      <c r="T47" s="5" t="inlineStr">
        <is>
          <t>일본</t>
        </is>
      </c>
      <c r="U47" s="5" t="inlineStr">
        <is>
          <t>와이드 릴리즈(주),(주)엠디에스스피어</t>
        </is>
      </c>
    </row>
    <row r="48">
      <c r="A48" s="5" t="inlineStr">
        <is>
          <t>인디펜던스 나이트</t>
        </is>
      </c>
      <c r="B48" s="5" t="inlineStr">
        <is>
          <t>2023-12-13</t>
        </is>
      </c>
      <c r="C48" s="5" t="inlineStr">
        <is>
          <t>2023-12-13</t>
        </is>
      </c>
      <c r="D48" s="5" t="inlineStr">
        <is>
          <t>신작</t>
        </is>
      </c>
      <c r="E48" s="5" t="inlineStr">
        <is>
          <t>실사 외화</t>
        </is>
      </c>
      <c r="F48" s="5" t="inlineStr">
        <is>
          <t>종영</t>
        </is>
      </c>
      <c r="G48" s="7" t="n">
        <v>3688</v>
      </c>
      <c r="H48" s="7" t="n">
        <v>7381</v>
      </c>
      <c r="I48" s="7" t="n">
        <v>59</v>
      </c>
      <c r="J48" s="7" t="n">
        <v>778</v>
      </c>
      <c r="K48" s="8">
        <f>IFERROR(G48/H48,"")</f>
        <v/>
      </c>
      <c r="L48" s="13">
        <f>IFERROR(J48/H48,"")</f>
        <v/>
      </c>
      <c r="M48" s="7" t="n">
        <v>55</v>
      </c>
      <c r="N48" s="19" t="n">
        <v>30.1</v>
      </c>
      <c r="O48" s="19" t="n">
        <v>130</v>
      </c>
      <c r="P48" s="7" t="n">
        <v>2</v>
      </c>
      <c r="Q48" s="5" t="inlineStr">
        <is>
          <t>2023-12-11</t>
        </is>
      </c>
      <c r="R48" s="5" t="inlineStr">
        <is>
          <t>2023-12-24</t>
        </is>
      </c>
      <c r="S48" s="5" t="inlineStr">
        <is>
          <t>범죄,액션</t>
        </is>
      </c>
      <c r="T48" s="5" t="inlineStr">
        <is>
          <t>미국</t>
        </is>
      </c>
      <c r="U48" s="5" t="inlineStr">
        <is>
          <t>(주)디스테이션</t>
        </is>
      </c>
    </row>
    <row r="49">
      <c r="A49" s="5" t="inlineStr">
        <is>
          <t>새비지 맨</t>
        </is>
      </c>
      <c r="B49" s="5" t="inlineStr">
        <is>
          <t>2023-01-26</t>
        </is>
      </c>
      <c r="C49" s="5" t="inlineStr">
        <is>
          <t>2023-01-26</t>
        </is>
      </c>
      <c r="D49" s="5" t="inlineStr">
        <is>
          <t>신작</t>
        </is>
      </c>
      <c r="E49" s="5" t="inlineStr">
        <is>
          <t>실사 외화</t>
        </is>
      </c>
      <c r="F49" s="5" t="inlineStr">
        <is>
          <t>종영</t>
        </is>
      </c>
      <c r="G49" s="7" t="n">
        <v>3227</v>
      </c>
      <c r="H49" s="7" t="n">
        <v>6277</v>
      </c>
      <c r="I49" s="7" t="n">
        <v>50</v>
      </c>
      <c r="J49" s="7" t="n">
        <v>1314</v>
      </c>
      <c r="K49" s="8">
        <f>IFERROR(G49/H49,"")</f>
        <v/>
      </c>
      <c r="L49" s="13">
        <f>IFERROR(J49/H49,"")</f>
        <v/>
      </c>
      <c r="M49" s="7" t="n">
        <v>50</v>
      </c>
      <c r="N49" s="19" t="n">
        <v>8.5</v>
      </c>
      <c r="O49" s="19" t="n">
        <v>133</v>
      </c>
      <c r="P49" s="7" t="n">
        <v>3</v>
      </c>
      <c r="Q49" s="5" t="inlineStr">
        <is>
          <t>2023-01-23</t>
        </is>
      </c>
      <c r="R49" s="5" t="inlineStr">
        <is>
          <t>2023-02-12</t>
        </is>
      </c>
      <c r="S49" s="5" t="inlineStr">
        <is>
          <t>액션,스릴러</t>
        </is>
      </c>
      <c r="T49" s="5" t="inlineStr">
        <is>
          <t>미국</t>
        </is>
      </c>
      <c r="U49" s="5" t="inlineStr">
        <is>
          <t>주식회사 디에스이이디</t>
        </is>
      </c>
    </row>
    <row r="50">
      <c r="A50" s="5" t="inlineStr">
        <is>
          <t>언더닌자</t>
        </is>
      </c>
      <c r="B50" s="5" t="inlineStr">
        <is>
          <t>2026-02-05</t>
        </is>
      </c>
      <c r="C50" s="5" t="inlineStr">
        <is>
          <t>2026-02-05</t>
        </is>
      </c>
      <c r="D50" s="5" t="inlineStr">
        <is>
          <t>신작</t>
        </is>
      </c>
      <c r="E50" s="5" t="inlineStr">
        <is>
          <t>실사 외화</t>
        </is>
      </c>
      <c r="F50" s="5" t="inlineStr">
        <is>
          <t>종영</t>
        </is>
      </c>
      <c r="G50" s="7" t="n">
        <v>3191</v>
      </c>
      <c r="H50" s="7" t="n">
        <v>8792</v>
      </c>
      <c r="I50" s="7" t="n">
        <v>65</v>
      </c>
      <c r="J50" s="7" t="n">
        <v>853</v>
      </c>
      <c r="K50" s="8">
        <f>IFERROR(G50/H50,"")</f>
        <v/>
      </c>
      <c r="L50" s="13">
        <f>IFERROR(J50/H50,"")</f>
        <v/>
      </c>
      <c r="M50" s="7" t="n">
        <v>65</v>
      </c>
      <c r="N50" s="19" t="n">
        <v>19.3</v>
      </c>
      <c r="O50" s="19" t="n">
        <v>123</v>
      </c>
      <c r="P50" s="7" t="n">
        <v>4</v>
      </c>
      <c r="Q50" s="5" t="inlineStr">
        <is>
          <t>2026-02-02</t>
        </is>
      </c>
      <c r="R50" s="5" t="inlineStr">
        <is>
          <t>2026-03-01</t>
        </is>
      </c>
      <c r="S50" s="5" t="inlineStr">
        <is>
          <t>드라마,코미디,액션</t>
        </is>
      </c>
      <c r="T50" s="5" t="inlineStr">
        <is>
          <t>일본</t>
        </is>
      </c>
      <c r="U50" s="5" t="inlineStr">
        <is>
          <t>메가박스중앙(주),㈜T-JOY</t>
        </is>
      </c>
    </row>
    <row r="51">
      <c r="A51" s="5" t="inlineStr">
        <is>
          <t>원 웨이</t>
        </is>
      </c>
      <c r="B51" s="5" t="inlineStr">
        <is>
          <t>2023-02-09</t>
        </is>
      </c>
      <c r="C51" s="5" t="inlineStr">
        <is>
          <t>2023-02-09</t>
        </is>
      </c>
      <c r="D51" s="5" t="inlineStr">
        <is>
          <t>신작</t>
        </is>
      </c>
      <c r="E51" s="5" t="inlineStr">
        <is>
          <t>실사 외화</t>
        </is>
      </c>
      <c r="F51" s="5" t="inlineStr">
        <is>
          <t>종영</t>
        </is>
      </c>
      <c r="G51" s="7" t="n">
        <v>3176</v>
      </c>
      <c r="H51" s="7" t="n">
        <v>6823</v>
      </c>
      <c r="I51" s="7" t="n">
        <v>50</v>
      </c>
      <c r="J51" s="7" t="n">
        <v>1372</v>
      </c>
      <c r="K51" s="8">
        <f>IFERROR(G51/H51,"")</f>
        <v/>
      </c>
      <c r="L51" s="13">
        <f>IFERROR(J51/H51,"")</f>
        <v/>
      </c>
      <c r="M51" s="7" t="n">
        <v>50</v>
      </c>
      <c r="N51" s="19" t="n">
        <v>8.199999999999999</v>
      </c>
      <c r="O51" s="19" t="n">
        <v>135</v>
      </c>
      <c r="P51" s="7" t="n">
        <v>3</v>
      </c>
      <c r="Q51" s="5" t="inlineStr">
        <is>
          <t>2023-02-06</t>
        </is>
      </c>
      <c r="R51" s="5" t="inlineStr">
        <is>
          <t>2023-02-26</t>
        </is>
      </c>
      <c r="S51" s="5" t="inlineStr">
        <is>
          <t>액션</t>
        </is>
      </c>
      <c r="T51" s="5" t="inlineStr">
        <is>
          <t>미국</t>
        </is>
      </c>
      <c r="U51" s="5" t="inlineStr">
        <is>
          <t>주식회사 블루필름웍스</t>
        </is>
      </c>
    </row>
    <row r="52">
      <c r="A52" s="5" t="inlineStr">
        <is>
          <t>울프 하운드</t>
        </is>
      </c>
      <c r="B52" s="5" t="inlineStr">
        <is>
          <t>2023-02-09</t>
        </is>
      </c>
      <c r="C52" s="5" t="inlineStr">
        <is>
          <t>2023-02-09</t>
        </is>
      </c>
      <c r="D52" s="5" t="inlineStr">
        <is>
          <t>신작</t>
        </is>
      </c>
      <c r="E52" s="5" t="inlineStr">
        <is>
          <t>실사 외화</t>
        </is>
      </c>
      <c r="F52" s="5" t="inlineStr">
        <is>
          <t>종영</t>
        </is>
      </c>
      <c r="G52" s="7" t="n">
        <v>3043</v>
      </c>
      <c r="H52" s="7" t="n">
        <v>6545</v>
      </c>
      <c r="I52" s="7" t="n">
        <v>50</v>
      </c>
      <c r="J52" s="7" t="n">
        <v>1286</v>
      </c>
      <c r="K52" s="8">
        <f>IFERROR(G52/H52,"")</f>
        <v/>
      </c>
      <c r="L52" s="13">
        <f>IFERROR(J52/H52,"")</f>
        <v/>
      </c>
      <c r="M52" s="7" t="n">
        <v>50</v>
      </c>
      <c r="N52" s="19" t="n">
        <v>10.7</v>
      </c>
      <c r="O52" s="19" t="n">
        <v>132</v>
      </c>
      <c r="P52" s="7" t="n">
        <v>4</v>
      </c>
      <c r="Q52" s="5" t="inlineStr">
        <is>
          <t>2023-02-06</t>
        </is>
      </c>
      <c r="R52" s="5" t="inlineStr">
        <is>
          <t>2023-03-05</t>
        </is>
      </c>
      <c r="S52" s="5" t="inlineStr">
        <is>
          <t>액션,전쟁</t>
        </is>
      </c>
      <c r="T52" s="5" t="inlineStr">
        <is>
          <t>미국</t>
        </is>
      </c>
      <c r="U52" s="5" t="inlineStr">
        <is>
          <t>주식회사 풍경소리</t>
        </is>
      </c>
    </row>
    <row r="53">
      <c r="A53" s="5" t="inlineStr">
        <is>
          <t>잠자는 바보</t>
        </is>
      </c>
      <c r="B53" s="5" t="inlineStr">
        <is>
          <t>2025-09-10</t>
        </is>
      </c>
      <c r="C53" s="5" t="inlineStr">
        <is>
          <t>2025-09-10</t>
        </is>
      </c>
      <c r="D53" s="5" t="inlineStr">
        <is>
          <t>신작</t>
        </is>
      </c>
      <c r="E53" s="5" t="inlineStr">
        <is>
          <t>실사 외화</t>
        </is>
      </c>
      <c r="F53" s="5" t="inlineStr">
        <is>
          <t>종영</t>
        </is>
      </c>
      <c r="G53" s="7" t="n">
        <v>3043</v>
      </c>
      <c r="H53" s="7" t="n">
        <v>21549</v>
      </c>
      <c r="I53" s="7" t="n">
        <v>110</v>
      </c>
      <c r="J53" s="7" t="n">
        <v>540</v>
      </c>
      <c r="K53" s="8">
        <f>IFERROR(G53/H53,"")</f>
        <v/>
      </c>
      <c r="L53" s="13">
        <f>IFERROR(J53/H53,"")</f>
        <v/>
      </c>
      <c r="M53" s="7" t="n">
        <v>110</v>
      </c>
      <c r="N53" s="19" t="n">
        <v>30.5</v>
      </c>
      <c r="O53" s="19" t="n">
        <v>145</v>
      </c>
      <c r="P53" s="7" t="n">
        <v>5</v>
      </c>
      <c r="Q53" s="5" t="inlineStr">
        <is>
          <t>2025-09-01</t>
        </is>
      </c>
      <c r="R53" s="5" t="inlineStr">
        <is>
          <t>2025-10-05</t>
        </is>
      </c>
      <c r="S53" s="5" t="inlineStr">
        <is>
          <t>드라마</t>
        </is>
      </c>
      <c r="T53" s="5" t="inlineStr">
        <is>
          <t>일본</t>
        </is>
      </c>
      <c r="U53" s="5" t="inlineStr">
        <is>
          <t>메가박스중앙(주)</t>
        </is>
      </c>
    </row>
    <row r="54">
      <c r="A54" s="5" t="inlineStr">
        <is>
          <t>울브스 오브 워</t>
        </is>
      </c>
      <c r="B54" s="5" t="inlineStr">
        <is>
          <t>2023-01-26</t>
        </is>
      </c>
      <c r="C54" s="5" t="inlineStr">
        <is>
          <t>2023-01-26</t>
        </is>
      </c>
      <c r="D54" s="5" t="inlineStr">
        <is>
          <t>신작</t>
        </is>
      </c>
      <c r="E54" s="5" t="inlineStr">
        <is>
          <t>실사 외화</t>
        </is>
      </c>
      <c r="F54" s="5" t="inlineStr">
        <is>
          <t>종영</t>
        </is>
      </c>
      <c r="G54" s="7" t="n">
        <v>2025</v>
      </c>
      <c r="H54" s="7" t="n">
        <v>6401</v>
      </c>
      <c r="I54" s="7" t="n">
        <v>50</v>
      </c>
      <c r="J54" s="7" t="n">
        <v>757</v>
      </c>
      <c r="K54" s="8">
        <f>IFERROR(G54/H54,"")</f>
        <v/>
      </c>
      <c r="L54" s="13">
        <f>IFERROR(J54/H54,"")</f>
        <v/>
      </c>
      <c r="M54" s="7" t="n">
        <v>50</v>
      </c>
      <c r="N54" s="19" t="n">
        <v>8.199999999999999</v>
      </c>
      <c r="O54" s="19" t="n">
        <v>138</v>
      </c>
      <c r="P54" s="7" t="n">
        <v>3</v>
      </c>
      <c r="Q54" s="5" t="inlineStr">
        <is>
          <t>2023-01-23</t>
        </is>
      </c>
      <c r="R54" s="5" t="inlineStr">
        <is>
          <t>2023-02-12</t>
        </is>
      </c>
      <c r="S54" s="5" t="inlineStr">
        <is>
          <t>액션,스릴러,전쟁</t>
        </is>
      </c>
      <c r="T54" s="5" t="inlineStr">
        <is>
          <t>영국</t>
        </is>
      </c>
      <c r="U54" s="5" t="inlineStr">
        <is>
          <t>(주)누리픽쳐스</t>
        </is>
      </c>
    </row>
    <row r="55">
      <c r="A55" s="5" t="inlineStr">
        <is>
          <t>열화청춘 리마스터링</t>
        </is>
      </c>
      <c r="B55" s="5" t="inlineStr">
        <is>
          <t>2025-03-31</t>
        </is>
      </c>
      <c r="C55" s="5" t="inlineStr">
        <is>
          <t>2025-03-31</t>
        </is>
      </c>
      <c r="D55" s="5" t="inlineStr">
        <is>
          <t>신작</t>
        </is>
      </c>
      <c r="E55" s="5" t="inlineStr">
        <is>
          <t>실사 외화</t>
        </is>
      </c>
      <c r="F55" s="5" t="inlineStr">
        <is>
          <t>종영</t>
        </is>
      </c>
      <c r="G55" s="7" t="n">
        <v>1932</v>
      </c>
      <c r="H55" s="7" t="n">
        <v>6528</v>
      </c>
      <c r="I55" s="7" t="n">
        <v>52</v>
      </c>
      <c r="J55" s="7" t="n">
        <v>369</v>
      </c>
      <c r="K55" s="8">
        <f>IFERROR(G55/H55,"")</f>
        <v/>
      </c>
      <c r="L55" s="13">
        <f>IFERROR(J55/H55,"")</f>
        <v/>
      </c>
      <c r="M55" s="7" t="n">
        <v>52</v>
      </c>
      <c r="N55" s="19" t="n">
        <v>21.7</v>
      </c>
      <c r="O55" s="19" t="n">
        <v>120</v>
      </c>
      <c r="P55" s="7" t="n">
        <v>4</v>
      </c>
      <c r="Q55" s="5" t="inlineStr">
        <is>
          <t>2025-03-31</t>
        </is>
      </c>
      <c r="R55" s="5" t="inlineStr">
        <is>
          <t>2025-04-27</t>
        </is>
      </c>
      <c r="S55" s="5" t="inlineStr">
        <is>
          <t>드라마,멜로/로맨스</t>
        </is>
      </c>
      <c r="T55" s="5" t="inlineStr">
        <is>
          <t>홍콩</t>
        </is>
      </c>
      <c r="U55" s="5" t="inlineStr">
        <is>
          <t>(주)디스테이션</t>
        </is>
      </c>
    </row>
    <row r="56">
      <c r="A56" s="5" t="inlineStr">
        <is>
          <t>나만의 비밀</t>
        </is>
      </c>
      <c r="B56" s="5" t="inlineStr">
        <is>
          <t>2026-01-21</t>
        </is>
      </c>
      <c r="C56" s="5" t="inlineStr">
        <is>
          <t>2026-01-21</t>
        </is>
      </c>
      <c r="D56" s="5" t="inlineStr">
        <is>
          <t>신작</t>
        </is>
      </c>
      <c r="E56" s="5" t="inlineStr">
        <is>
          <t>실사 외화</t>
        </is>
      </c>
      <c r="F56" s="5" t="inlineStr">
        <is>
          <t>종영</t>
        </is>
      </c>
      <c r="G56" s="7" t="n">
        <v>1821</v>
      </c>
      <c r="H56" s="7" t="n">
        <v>13065</v>
      </c>
      <c r="I56" s="7" t="n">
        <v>80</v>
      </c>
      <c r="J56" s="7" t="n">
        <v>311</v>
      </c>
      <c r="K56" s="8">
        <f>IFERROR(G56/H56,"")</f>
        <v/>
      </c>
      <c r="L56" s="13">
        <f>IFERROR(J56/H56,"")</f>
        <v/>
      </c>
      <c r="M56" s="7" t="n">
        <v>78</v>
      </c>
      <c r="N56" s="19" t="n">
        <v>28.8</v>
      </c>
      <c r="O56" s="19" t="n">
        <v>130</v>
      </c>
      <c r="P56" s="7" t="n">
        <v>5</v>
      </c>
      <c r="Q56" s="5" t="inlineStr">
        <is>
          <t>2026-01-19</t>
        </is>
      </c>
      <c r="R56" s="5" t="inlineStr">
        <is>
          <t>2026-02-22</t>
        </is>
      </c>
      <c r="S56" s="5" t="inlineStr">
        <is>
          <t>드라마</t>
        </is>
      </c>
      <c r="T56" s="5" t="inlineStr">
        <is>
          <t>일본</t>
        </is>
      </c>
      <c r="U56" s="5" t="inlineStr">
        <is>
          <t>(주)누리픽쳐스</t>
        </is>
      </c>
    </row>
    <row r="57">
      <c r="A57" s="5" t="inlineStr">
        <is>
          <t>신 울트라맨</t>
        </is>
      </c>
      <c r="B57" s="5" t="inlineStr">
        <is>
          <t>2023-12-06</t>
        </is>
      </c>
      <c r="C57" s="5" t="inlineStr">
        <is>
          <t>2023-12-06</t>
        </is>
      </c>
      <c r="D57" s="5" t="inlineStr">
        <is>
          <t>신작</t>
        </is>
      </c>
      <c r="E57" s="5" t="inlineStr">
        <is>
          <t>실사 외화</t>
        </is>
      </c>
      <c r="F57" s="5" t="inlineStr">
        <is>
          <t>종영</t>
        </is>
      </c>
      <c r="G57" s="7" t="n">
        <v>1721</v>
      </c>
      <c r="H57" s="7" t="n">
        <v>7283</v>
      </c>
      <c r="I57" s="7" t="n">
        <v>53</v>
      </c>
      <c r="J57" s="7" t="n">
        <v>269</v>
      </c>
      <c r="K57" s="8">
        <f>IFERROR(G57/H57,"")</f>
        <v/>
      </c>
      <c r="L57" s="13">
        <f>IFERROR(J57/H57,"")</f>
        <v/>
      </c>
      <c r="M57" s="7" t="n">
        <v>53</v>
      </c>
      <c r="N57" s="19" t="n">
        <v>24.9</v>
      </c>
      <c r="O57" s="19" t="n">
        <v>122</v>
      </c>
      <c r="P57" s="7" t="n">
        <v>3</v>
      </c>
      <c r="Q57" s="5" t="inlineStr">
        <is>
          <t>2023-12-04</t>
        </is>
      </c>
      <c r="R57" s="5" t="inlineStr">
        <is>
          <t>2023-12-24</t>
        </is>
      </c>
      <c r="S57" s="5" t="inlineStr">
        <is>
          <t>SF,액션</t>
        </is>
      </c>
      <c r="T57" s="5" t="inlineStr">
        <is>
          <t>일본</t>
        </is>
      </c>
      <c r="U57" s="5" t="inlineStr">
        <is>
          <t>와이드 릴리즈(주)</t>
        </is>
      </c>
    </row>
    <row r="58">
      <c r="A58" s="5" t="inlineStr">
        <is>
          <t>괴담만찬</t>
        </is>
      </c>
      <c r="B58" s="5" t="inlineStr">
        <is>
          <t>2023-10-18</t>
        </is>
      </c>
      <c r="C58" s="5" t="inlineStr">
        <is>
          <t>2023-10-18</t>
        </is>
      </c>
      <c r="D58" s="5" t="inlineStr">
        <is>
          <t>신작</t>
        </is>
      </c>
      <c r="E58" s="5" t="inlineStr">
        <is>
          <t>실사 한국</t>
        </is>
      </c>
      <c r="F58" s="5" t="inlineStr">
        <is>
          <t>종영</t>
        </is>
      </c>
      <c r="G58" s="7" t="n">
        <v>27389</v>
      </c>
      <c r="H58" s="7" t="n">
        <v>60448</v>
      </c>
      <c r="I58" s="7" t="n">
        <v>162</v>
      </c>
      <c r="J58" s="7" t="n">
        <v>4091</v>
      </c>
      <c r="K58" s="8">
        <f>IFERROR(G58/H58,"")</f>
        <v/>
      </c>
      <c r="L58" s="13">
        <f>IFERROR(J58/H58,"")</f>
        <v/>
      </c>
      <c r="M58" s="7" t="n">
        <v>122</v>
      </c>
      <c r="N58" s="19" t="n">
        <v>39.3</v>
      </c>
      <c r="O58" s="19" t="n">
        <v>264</v>
      </c>
      <c r="P58" s="7" t="n">
        <v>8</v>
      </c>
      <c r="Q58" s="5" t="inlineStr">
        <is>
          <t>2023-10-09</t>
        </is>
      </c>
      <c r="R58" s="5" t="inlineStr">
        <is>
          <t>2023-12-03</t>
        </is>
      </c>
      <c r="S58" s="5" t="inlineStr">
        <is>
          <t>공포(호러)</t>
        </is>
      </c>
      <c r="T58" s="5" t="inlineStr">
        <is>
          <t>한국</t>
        </is>
      </c>
      <c r="U58" s="5" t="inlineStr">
        <is>
          <t>TCO(주)더콘텐츠온,(주)블루라벨픽쳐스,(주)대교 미디어콘텐츠사업본부</t>
        </is>
      </c>
    </row>
    <row r="59">
      <c r="A59" s="5" t="inlineStr">
        <is>
          <t>주차금지</t>
        </is>
      </c>
      <c r="B59" s="5" t="inlineStr">
        <is>
          <t>2025-05-21</t>
        </is>
      </c>
      <c r="C59" s="5" t="inlineStr">
        <is>
          <t>2025-05-21</t>
        </is>
      </c>
      <c r="D59" s="5" t="inlineStr">
        <is>
          <t>신작</t>
        </is>
      </c>
      <c r="E59" s="5" t="inlineStr">
        <is>
          <t>실사 한국</t>
        </is>
      </c>
      <c r="F59" s="5" t="inlineStr">
        <is>
          <t>종영</t>
        </is>
      </c>
      <c r="G59" s="7" t="n">
        <v>19970</v>
      </c>
      <c r="H59" s="7" t="n">
        <v>19453</v>
      </c>
      <c r="I59" s="7" t="n">
        <v>125</v>
      </c>
      <c r="J59" s="7" t="n">
        <v>2520</v>
      </c>
      <c r="K59" s="8">
        <f>IFERROR(G59/H59,"")</f>
        <v/>
      </c>
      <c r="L59" s="13">
        <f>IFERROR(J59/H59,"")</f>
        <v/>
      </c>
      <c r="M59" s="7" t="n">
        <v>126</v>
      </c>
      <c r="N59" s="19" t="n">
        <v>44.1</v>
      </c>
      <c r="O59" s="19" t="n">
        <v>138</v>
      </c>
      <c r="P59" s="7" t="n">
        <v>7</v>
      </c>
      <c r="Q59" s="5" t="inlineStr">
        <is>
          <t>2025-05-12</t>
        </is>
      </c>
      <c r="R59" s="5" t="inlineStr">
        <is>
          <t>2025-06-29</t>
        </is>
      </c>
      <c r="S59" s="5" t="inlineStr">
        <is>
          <t>스릴러</t>
        </is>
      </c>
      <c r="T59" s="5" t="inlineStr">
        <is>
          <t>한국</t>
        </is>
      </c>
      <c r="U59" s="5" t="inlineStr">
        <is>
          <t>㈜영화사 주단,(주)엠디에스스피어</t>
        </is>
      </c>
    </row>
    <row r="60">
      <c r="A60" s="5" t="inlineStr">
        <is>
          <t>커미션</t>
        </is>
      </c>
      <c r="B60" s="5" t="inlineStr">
        <is>
          <t>2025-07-16</t>
        </is>
      </c>
      <c r="C60" s="5" t="inlineStr">
        <is>
          <t>2025-07-16</t>
        </is>
      </c>
      <c r="D60" s="5" t="inlineStr">
        <is>
          <t>신작</t>
        </is>
      </c>
      <c r="E60" s="5" t="inlineStr">
        <is>
          <t>실사 한국</t>
        </is>
      </c>
      <c r="F60" s="5" t="inlineStr">
        <is>
          <t>종영</t>
        </is>
      </c>
      <c r="G60" s="7" t="n">
        <v>14415</v>
      </c>
      <c r="H60" s="7" t="n">
        <v>22780</v>
      </c>
      <c r="I60" s="7" t="n">
        <v>127</v>
      </c>
      <c r="J60" s="7" t="n">
        <v>2688</v>
      </c>
      <c r="K60" s="8">
        <f>IFERROR(G60/H60,"")</f>
        <v/>
      </c>
      <c r="L60" s="13">
        <f>IFERROR(J60/H60,"")</f>
        <v/>
      </c>
      <c r="M60" s="7" t="n">
        <v>126</v>
      </c>
      <c r="N60" s="19" t="n">
        <v>49.1</v>
      </c>
      <c r="O60" s="19" t="n">
        <v>142</v>
      </c>
      <c r="P60" s="7" t="n">
        <v>5</v>
      </c>
      <c r="Q60" s="5" t="inlineStr">
        <is>
          <t>2025-07-07</t>
        </is>
      </c>
      <c r="R60" s="5" t="inlineStr">
        <is>
          <t>2025-08-10</t>
        </is>
      </c>
      <c r="S60" s="5" t="inlineStr">
        <is>
          <t>미스터리,스릴러</t>
        </is>
      </c>
      <c r="T60" s="5" t="inlineStr">
        <is>
          <t>한국</t>
        </is>
      </c>
      <c r="U60" s="5" t="inlineStr">
        <is>
          <t>(주)팬엔터테인먼트,(주)미디어캐슬</t>
        </is>
      </c>
    </row>
    <row r="61">
      <c r="A61" s="5" t="inlineStr">
        <is>
          <t>극장판 고래와 나</t>
        </is>
      </c>
      <c r="B61" s="5" t="inlineStr">
        <is>
          <t>2024-10-30</t>
        </is>
      </c>
      <c r="C61" s="5" t="inlineStr">
        <is>
          <t>2024-10-30</t>
        </is>
      </c>
      <c r="D61" s="5" t="inlineStr">
        <is>
          <t>신작</t>
        </is>
      </c>
      <c r="E61" s="5" t="inlineStr">
        <is>
          <t>실사 한국</t>
        </is>
      </c>
      <c r="F61" s="5" t="inlineStr">
        <is>
          <t>종영</t>
        </is>
      </c>
      <c r="G61" s="7" t="n">
        <v>11814</v>
      </c>
      <c r="H61" s="7" t="n">
        <v>21040</v>
      </c>
      <c r="I61" s="7" t="n">
        <v>118</v>
      </c>
      <c r="J61" s="7" t="n">
        <v>1021</v>
      </c>
      <c r="K61" s="8">
        <f>IFERROR(G61/H61,"")</f>
        <v/>
      </c>
      <c r="L61" s="13">
        <f>IFERROR(J61/H61,"")</f>
        <v/>
      </c>
      <c r="M61" s="7" t="n">
        <v>81</v>
      </c>
      <c r="N61" s="19" t="n">
        <v>27.2</v>
      </c>
      <c r="O61" s="19" t="n">
        <v>145</v>
      </c>
      <c r="P61" s="7" t="n">
        <v>9</v>
      </c>
      <c r="Q61" s="5" t="inlineStr">
        <is>
          <t>2024-10-14</t>
        </is>
      </c>
      <c r="R61" s="5" t="inlineStr">
        <is>
          <t>2024-12-15</t>
        </is>
      </c>
      <c r="S61" s="5" t="inlineStr">
        <is>
          <t>다큐멘터리</t>
        </is>
      </c>
      <c r="T61" s="5" t="inlineStr">
        <is>
          <t>한국</t>
        </is>
      </c>
      <c r="U61" s="5" t="inlineStr">
        <is>
          <t>주식회사 썬더필름</t>
        </is>
      </c>
    </row>
    <row r="62">
      <c r="A62" s="5" t="inlineStr">
        <is>
          <t>자우림, 더 원더랜드</t>
        </is>
      </c>
      <c r="B62" s="5" t="inlineStr">
        <is>
          <t>2023-06-07</t>
        </is>
      </c>
      <c r="C62" s="5" t="inlineStr">
        <is>
          <t>2023-06-07</t>
        </is>
      </c>
      <c r="D62" s="5" t="inlineStr">
        <is>
          <t>신작</t>
        </is>
      </c>
      <c r="E62" s="5" t="inlineStr">
        <is>
          <t>실사 한국</t>
        </is>
      </c>
      <c r="F62" s="5" t="inlineStr">
        <is>
          <t>종영</t>
        </is>
      </c>
      <c r="G62" s="7" t="n">
        <v>8951</v>
      </c>
      <c r="H62" s="7" t="n">
        <v>16218</v>
      </c>
      <c r="I62" s="7" t="n">
        <v>84</v>
      </c>
      <c r="J62" s="7" t="n">
        <v>682</v>
      </c>
      <c r="K62" s="8">
        <f>IFERROR(G62/H62,"")</f>
        <v/>
      </c>
      <c r="L62" s="13">
        <f>IFERROR(J62/H62,"")</f>
        <v/>
      </c>
      <c r="M62" s="7" t="n">
        <v>89</v>
      </c>
      <c r="N62" s="19" t="n">
        <v>20.7</v>
      </c>
      <c r="O62" s="19" t="n">
        <v>148</v>
      </c>
      <c r="P62" s="7" t="n">
        <v>8</v>
      </c>
      <c r="Q62" s="5" t="inlineStr">
        <is>
          <t>2023-05-29</t>
        </is>
      </c>
      <c r="R62" s="5" t="inlineStr">
        <is>
          <t>2023-07-23</t>
        </is>
      </c>
      <c r="S62" s="5" t="inlineStr">
        <is>
          <t>다큐멘터리</t>
        </is>
      </c>
      <c r="T62" s="5" t="inlineStr">
        <is>
          <t>한국</t>
        </is>
      </c>
      <c r="U62" s="5" t="inlineStr">
        <is>
          <t>메가박스중앙(주),써티세븐스디그리(주)</t>
        </is>
      </c>
    </row>
    <row r="63">
      <c r="A63" s="5" t="inlineStr">
        <is>
          <t>코넬의 상자</t>
        </is>
      </c>
      <c r="B63" s="5" t="inlineStr">
        <is>
          <t>2025-01-08</t>
        </is>
      </c>
      <c r="C63" s="5" t="inlineStr">
        <is>
          <t>2025-01-08</t>
        </is>
      </c>
      <c r="D63" s="5" t="inlineStr">
        <is>
          <t>신작</t>
        </is>
      </c>
      <c r="E63" s="5" t="inlineStr">
        <is>
          <t>실사 한국</t>
        </is>
      </c>
      <c r="F63" s="5" t="inlineStr">
        <is>
          <t>종영</t>
        </is>
      </c>
      <c r="G63" s="7" t="n">
        <v>8421</v>
      </c>
      <c r="H63" s="7" t="n">
        <v>8793</v>
      </c>
      <c r="I63" s="7" t="n">
        <v>54</v>
      </c>
      <c r="J63" s="7" t="n">
        <v>843</v>
      </c>
      <c r="K63" s="8">
        <f>IFERROR(G63/H63,"")</f>
        <v/>
      </c>
      <c r="L63" s="13">
        <f>IFERROR(J63/H63,"")</f>
        <v/>
      </c>
      <c r="M63" s="7" t="n">
        <v>53</v>
      </c>
      <c r="N63" s="19" t="n">
        <v>43.3</v>
      </c>
      <c r="O63" s="19" t="n">
        <v>128</v>
      </c>
      <c r="P63" s="7" t="n">
        <v>3</v>
      </c>
      <c r="Q63" s="5" t="inlineStr">
        <is>
          <t>2025-01-06</t>
        </is>
      </c>
      <c r="R63" s="5" t="inlineStr">
        <is>
          <t>2025-01-26</t>
        </is>
      </c>
      <c r="S63" s="5" t="inlineStr">
        <is>
          <t>미스터리,스릴러</t>
        </is>
      </c>
      <c r="T63" s="5" t="inlineStr">
        <is>
          <t>한국</t>
        </is>
      </c>
      <c r="U63" s="5" t="inlineStr">
        <is>
          <t>와이드 릴리즈(주)</t>
        </is>
      </c>
    </row>
    <row r="64">
      <c r="A64" s="5" t="inlineStr">
        <is>
          <t>누룩</t>
        </is>
      </c>
      <c r="B64" s="5" t="inlineStr">
        <is>
          <t>2026-04-15</t>
        </is>
      </c>
      <c r="C64" s="5" t="inlineStr">
        <is>
          <t>2026-04-15</t>
        </is>
      </c>
      <c r="D64" s="5" t="inlineStr">
        <is>
          <t>신작</t>
        </is>
      </c>
      <c r="E64" s="5" t="inlineStr">
        <is>
          <t>실사 한국</t>
        </is>
      </c>
      <c r="F64" s="5" t="inlineStr">
        <is>
          <t>종영</t>
        </is>
      </c>
      <c r="G64" s="7" t="n">
        <v>5911</v>
      </c>
      <c r="H64" s="7" t="n">
        <v>9887</v>
      </c>
      <c r="I64" s="7" t="n">
        <v>76</v>
      </c>
      <c r="J64" s="7" t="n">
        <v>1190</v>
      </c>
      <c r="K64" s="8">
        <f>IFERROR(G64/H64,"")</f>
        <v/>
      </c>
      <c r="L64" s="13">
        <f>IFERROR(J64/H64,"")</f>
        <v/>
      </c>
      <c r="M64" s="7" t="n">
        <v>74</v>
      </c>
      <c r="N64" s="19" t="n">
        <v>27.8</v>
      </c>
      <c r="O64" s="19" t="n">
        <v>124</v>
      </c>
      <c r="P64" s="7" t="n">
        <v>4</v>
      </c>
      <c r="Q64" s="5" t="inlineStr">
        <is>
          <t>2026-04-06</t>
        </is>
      </c>
      <c r="R64" s="5" t="inlineStr">
        <is>
          <t>2026-05-03</t>
        </is>
      </c>
      <c r="S64" s="5" t="inlineStr">
        <is>
          <t>가족,미스터리,드라마</t>
        </is>
      </c>
      <c r="T64" s="5" t="inlineStr">
        <is>
          <t>한국</t>
        </is>
      </c>
      <c r="U64" s="5" t="inlineStr">
        <is>
          <t>(주)로드쇼플러스</t>
        </is>
      </c>
    </row>
    <row r="65">
      <c r="A65" s="5" t="inlineStr">
        <is>
          <t>여덟 번째 감각</t>
        </is>
      </c>
      <c r="B65" s="5" t="inlineStr">
        <is>
          <t>2023-03-29</t>
        </is>
      </c>
      <c r="C65" s="5" t="inlineStr">
        <is>
          <t>2023-03-29</t>
        </is>
      </c>
      <c r="D65" s="5" t="inlineStr">
        <is>
          <t>신작</t>
        </is>
      </c>
      <c r="E65" s="5" t="inlineStr">
        <is>
          <t>실사 한국</t>
        </is>
      </c>
      <c r="F65" s="5" t="inlineStr">
        <is>
          <t>종영</t>
        </is>
      </c>
      <c r="G65" s="7" t="n">
        <v>4156</v>
      </c>
      <c r="H65" s="7" t="n">
        <v>15830</v>
      </c>
      <c r="I65" s="7" t="n">
        <v>80</v>
      </c>
      <c r="J65" s="7" t="n">
        <v>1126</v>
      </c>
      <c r="K65" s="8">
        <f>IFERROR(G65/H65,"")</f>
        <v/>
      </c>
      <c r="L65" s="13">
        <f>IFERROR(J65/H65,"")</f>
        <v/>
      </c>
      <c r="M65" s="7" t="n">
        <v>79</v>
      </c>
      <c r="N65" s="19" t="n">
        <v>23</v>
      </c>
      <c r="O65" s="19" t="n">
        <v>160</v>
      </c>
      <c r="P65" s="7" t="n">
        <v>6</v>
      </c>
      <c r="Q65" s="5" t="inlineStr">
        <is>
          <t>2023-03-20</t>
        </is>
      </c>
      <c r="R65" s="5" t="inlineStr">
        <is>
          <t>2023-04-30</t>
        </is>
      </c>
      <c r="S65" s="5" t="inlineStr">
        <is>
          <t>멜로/로맨스,드라마</t>
        </is>
      </c>
      <c r="T65" s="5" t="inlineStr">
        <is>
          <t>한국</t>
        </is>
      </c>
      <c r="U65" s="5" t="inlineStr">
        <is>
          <t>(주)엠디에스스피어,(주)영화특별시에스엠씨</t>
        </is>
      </c>
    </row>
    <row r="66">
      <c r="A66" s="5" t="inlineStr">
        <is>
          <t>뒤주</t>
        </is>
      </c>
      <c r="B66" s="5" t="inlineStr">
        <is>
          <t>2024-03-28</t>
        </is>
      </c>
      <c r="C66" s="5" t="inlineStr">
        <is>
          <t>2024-03-28</t>
        </is>
      </c>
      <c r="D66" s="5" t="inlineStr">
        <is>
          <t>신작</t>
        </is>
      </c>
      <c r="E66" s="5" t="inlineStr">
        <is>
          <t>실사 한국</t>
        </is>
      </c>
      <c r="F66" s="5" t="inlineStr">
        <is>
          <t>종영</t>
        </is>
      </c>
      <c r="G66" s="7" t="n">
        <v>3855</v>
      </c>
      <c r="H66" s="7" t="n">
        <v>6846</v>
      </c>
      <c r="I66" s="7" t="n">
        <v>52</v>
      </c>
      <c r="J66" s="7" t="n">
        <v>999</v>
      </c>
      <c r="K66" s="8">
        <f>IFERROR(G66/H66,"")</f>
        <v/>
      </c>
      <c r="L66" s="13">
        <f>IFERROR(J66/H66,"")</f>
        <v/>
      </c>
      <c r="M66" s="7" t="n">
        <v>52</v>
      </c>
      <c r="N66" s="19" t="n">
        <v>14.8</v>
      </c>
      <c r="O66" s="19" t="n">
        <v>129</v>
      </c>
      <c r="P66" s="7" t="n">
        <v>4</v>
      </c>
      <c r="Q66" s="5" t="inlineStr">
        <is>
          <t>2024-03-25</t>
        </is>
      </c>
      <c r="R66" s="5" t="inlineStr">
        <is>
          <t>2024-04-21</t>
        </is>
      </c>
      <c r="S66" s="5" t="inlineStr">
        <is>
          <t>공포(호러),미스터리,스릴러</t>
        </is>
      </c>
      <c r="T66" s="5" t="inlineStr">
        <is>
          <t>한국</t>
        </is>
      </c>
      <c r="U66" s="5" t="inlineStr">
        <is>
          <t>(주)파이브데이</t>
        </is>
      </c>
    </row>
    <row r="67">
      <c r="A67" s="5" t="inlineStr">
        <is>
          <t>10일간의 애인</t>
        </is>
      </c>
      <c r="B67" s="5" t="inlineStr">
        <is>
          <t>2023-01-12</t>
        </is>
      </c>
      <c r="C67" s="5" t="inlineStr">
        <is>
          <t>2023-01-12</t>
        </is>
      </c>
      <c r="D67" s="5" t="inlineStr">
        <is>
          <t>신작</t>
        </is>
      </c>
      <c r="E67" s="5" t="inlineStr">
        <is>
          <t>실사 한국</t>
        </is>
      </c>
      <c r="F67" s="5" t="inlineStr">
        <is>
          <t>종영</t>
        </is>
      </c>
      <c r="G67" s="7" t="n">
        <v>2118</v>
      </c>
      <c r="H67" s="7" t="n">
        <v>6364</v>
      </c>
      <c r="I67" s="7" t="n">
        <v>50</v>
      </c>
      <c r="J67" s="7" t="n">
        <v>826</v>
      </c>
      <c r="K67" s="8">
        <f>IFERROR(G67/H67,"")</f>
        <v/>
      </c>
      <c r="L67" s="13">
        <f>IFERROR(J67/H67,"")</f>
        <v/>
      </c>
      <c r="M67" s="7" t="n">
        <v>50</v>
      </c>
      <c r="N67" s="19" t="n">
        <v>8.199999999999999</v>
      </c>
      <c r="O67" s="19" t="n">
        <v>138</v>
      </c>
      <c r="P67" s="7" t="n">
        <v>3</v>
      </c>
      <c r="Q67" s="5" t="inlineStr">
        <is>
          <t>2023-01-09</t>
        </is>
      </c>
      <c r="R67" s="5" t="inlineStr">
        <is>
          <t>2023-01-29</t>
        </is>
      </c>
      <c r="S67" s="5" t="inlineStr">
        <is>
          <t>멜로/로맨스</t>
        </is>
      </c>
      <c r="T67" s="5" t="inlineStr">
        <is>
          <t>한국</t>
        </is>
      </c>
      <c r="U67" s="5" t="inlineStr">
        <is>
          <t>(주)그노스</t>
        </is>
      </c>
    </row>
    <row r="68">
      <c r="A68" s="5" t="inlineStr">
        <is>
          <t>극장판 진격의 거인 완결편 더 라스트 어택</t>
        </is>
      </c>
      <c r="B68" s="5" t="inlineStr">
        <is>
          <t>2025-03-13</t>
        </is>
      </c>
      <c r="C68" s="5" t="inlineStr">
        <is>
          <t>2025-03-13</t>
        </is>
      </c>
      <c r="D68" s="5" t="inlineStr">
        <is>
          <t>신작</t>
        </is>
      </c>
      <c r="E68" s="5" t="inlineStr">
        <is>
          <t>애니메이션</t>
        </is>
      </c>
      <c r="F68" s="5" t="inlineStr">
        <is>
          <t>종영</t>
        </is>
      </c>
      <c r="G68" s="7" t="n">
        <v>949711</v>
      </c>
      <c r="H68" s="7" t="n">
        <v>116840</v>
      </c>
      <c r="I68" s="7" t="n">
        <v>335</v>
      </c>
      <c r="J68" s="7" t="n">
        <v>37674</v>
      </c>
      <c r="K68" s="8">
        <f>IFERROR(G68/H68,"")</f>
        <v/>
      </c>
      <c r="L68" s="13">
        <f>IFERROR(J68/H68,"")</f>
        <v/>
      </c>
      <c r="M68" s="7" t="n">
        <v>334</v>
      </c>
      <c r="N68" s="19" t="n">
        <v>81.2</v>
      </c>
      <c r="O68" s="19" t="n">
        <v>306</v>
      </c>
      <c r="P68" s="7" t="n">
        <v>35</v>
      </c>
      <c r="Q68" s="5" t="inlineStr">
        <is>
          <t>2025-03-03</t>
        </is>
      </c>
      <c r="R68" s="5" t="inlineStr">
        <is>
          <t>2025-11-02</t>
        </is>
      </c>
      <c r="S68" s="5" t="inlineStr">
        <is>
          <t>애니메이션</t>
        </is>
      </c>
      <c r="T68" s="5" t="inlineStr">
        <is>
          <t>일본</t>
        </is>
      </c>
      <c r="U68" s="5" t="inlineStr">
        <is>
          <t>(주)애니플러스</t>
        </is>
      </c>
    </row>
    <row r="69">
      <c r="A69" s="5" t="inlineStr">
        <is>
          <t>룩백</t>
        </is>
      </c>
      <c r="B69" s="5" t="inlineStr">
        <is>
          <t>2024-09-05</t>
        </is>
      </c>
      <c r="C69" s="5" t="inlineStr">
        <is>
          <t>2024-09-05</t>
        </is>
      </c>
      <c r="D69" s="5" t="inlineStr">
        <is>
          <t>신작</t>
        </is>
      </c>
      <c r="E69" s="5" t="inlineStr">
        <is>
          <t>애니메이션</t>
        </is>
      </c>
      <c r="F69" s="5" t="inlineStr">
        <is>
          <t>종영</t>
        </is>
      </c>
      <c r="G69" s="7" t="n">
        <v>301976</v>
      </c>
      <c r="H69" s="7" t="n">
        <v>116966</v>
      </c>
      <c r="I69" s="7" t="n">
        <v>184</v>
      </c>
      <c r="J69" s="7" t="n">
        <v>16206</v>
      </c>
      <c r="K69" s="8">
        <f>IFERROR(G69/H69,"")</f>
        <v/>
      </c>
      <c r="L69" s="13">
        <f>IFERROR(J69/H69,"")</f>
        <v/>
      </c>
      <c r="M69" s="7" t="n">
        <v>220</v>
      </c>
      <c r="N69" s="19" t="n">
        <v>100.1</v>
      </c>
      <c r="O69" s="19" t="n">
        <v>253</v>
      </c>
      <c r="P69" s="7" t="n">
        <v>19</v>
      </c>
      <c r="Q69" s="5" t="inlineStr">
        <is>
          <t>2024-08-26</t>
        </is>
      </c>
      <c r="R69" s="5" t="inlineStr">
        <is>
          <t>2025-01-05</t>
        </is>
      </c>
      <c r="S69" s="5" t="inlineStr">
        <is>
          <t>애니메이션</t>
        </is>
      </c>
      <c r="T69" s="5" t="inlineStr">
        <is>
          <t>일본</t>
        </is>
      </c>
      <c r="U69" s="5" t="inlineStr">
        <is>
          <t>메가박스중앙(주)</t>
        </is>
      </c>
    </row>
    <row r="70">
      <c r="A70" s="5" t="inlineStr">
        <is>
          <t>극장판 프로젝트 세카이 부서진 세카이와 전해지지 않는 미쿠의 노래</t>
        </is>
      </c>
      <c r="B70" s="5" t="inlineStr">
        <is>
          <t>2025-05-29</t>
        </is>
      </c>
      <c r="C70" s="5" t="inlineStr">
        <is>
          <t>2025-05-29</t>
        </is>
      </c>
      <c r="D70" s="5" t="inlineStr">
        <is>
          <t>신작</t>
        </is>
      </c>
      <c r="E70" s="5" t="inlineStr">
        <is>
          <t>애니메이션</t>
        </is>
      </c>
      <c r="F70" s="5" t="inlineStr">
        <is>
          <t>종영</t>
        </is>
      </c>
      <c r="G70" s="7" t="n">
        <v>82581</v>
      </c>
      <c r="H70" s="7" t="n">
        <v>43901</v>
      </c>
      <c r="I70" s="7" t="n">
        <v>158</v>
      </c>
      <c r="J70" s="7" t="n">
        <v>7510</v>
      </c>
      <c r="K70" s="8">
        <f>IFERROR(G70/H70,"")</f>
        <v/>
      </c>
      <c r="L70" s="13">
        <f>IFERROR(J70/H70,"")</f>
        <v/>
      </c>
      <c r="M70" s="7" t="n">
        <v>157</v>
      </c>
      <c r="N70" s="19" t="n">
        <v>48</v>
      </c>
      <c r="O70" s="19" t="n">
        <v>160</v>
      </c>
      <c r="P70" s="7" t="n">
        <v>15</v>
      </c>
      <c r="Q70" s="5" t="inlineStr">
        <is>
          <t>2025-05-26</t>
        </is>
      </c>
      <c r="R70" s="5" t="inlineStr">
        <is>
          <t>2025-09-07</t>
        </is>
      </c>
      <c r="S70" s="5" t="inlineStr">
        <is>
          <t>애니메이션</t>
        </is>
      </c>
      <c r="T70" s="5" t="inlineStr">
        <is>
          <t>일본</t>
        </is>
      </c>
      <c r="U70" s="5" t="inlineStr">
        <is>
          <t>(주)애니플러스</t>
        </is>
      </c>
    </row>
    <row r="71">
      <c r="A71" s="5" t="inlineStr">
        <is>
          <t>우마무스메 프리티 더비 새로운 시대의 문</t>
        </is>
      </c>
      <c r="B71" s="5" t="inlineStr">
        <is>
          <t>2024-07-11</t>
        </is>
      </c>
      <c r="C71" s="5" t="inlineStr">
        <is>
          <t>2024-07-11</t>
        </is>
      </c>
      <c r="D71" s="5" t="inlineStr">
        <is>
          <t>신작</t>
        </is>
      </c>
      <c r="E71" s="5" t="inlineStr">
        <is>
          <t>애니메이션</t>
        </is>
      </c>
      <c r="F71" s="5" t="inlineStr">
        <is>
          <t>종영</t>
        </is>
      </c>
      <c r="G71" s="7" t="n">
        <v>64612</v>
      </c>
      <c r="H71" s="7" t="n">
        <v>37649</v>
      </c>
      <c r="I71" s="7" t="n">
        <v>127</v>
      </c>
      <c r="J71" s="7" t="n">
        <v>6421</v>
      </c>
      <c r="K71" s="8">
        <f>IFERROR(G71/H71,"")</f>
        <v/>
      </c>
      <c r="L71" s="13">
        <f>IFERROR(J71/H71,"")</f>
        <v/>
      </c>
      <c r="M71" s="7" t="n">
        <v>126</v>
      </c>
      <c r="N71" s="19" t="n">
        <v>51</v>
      </c>
      <c r="O71" s="19" t="n">
        <v>177</v>
      </c>
      <c r="P71" s="7" t="n">
        <v>11</v>
      </c>
      <c r="Q71" s="5" t="inlineStr">
        <is>
          <t>2024-07-01</t>
        </is>
      </c>
      <c r="R71" s="5" t="inlineStr">
        <is>
          <t>2024-09-15</t>
        </is>
      </c>
      <c r="S71" s="5" t="inlineStr">
        <is>
          <t>애니메이션</t>
        </is>
      </c>
      <c r="T71" s="5" t="inlineStr">
        <is>
          <t>일본</t>
        </is>
      </c>
      <c r="U71" s="5" t="inlineStr">
        <is>
          <t>(주)애니플러스</t>
        </is>
      </c>
    </row>
    <row r="72">
      <c r="A72" s="5" t="inlineStr">
        <is>
          <t>극장판 아이돌리쉬 세븐; 라이브 4비트 비욘드 더 피리어드 - 데이 2</t>
        </is>
      </c>
      <c r="B72" s="5" t="inlineStr">
        <is>
          <t>2023-10-19</t>
        </is>
      </c>
      <c r="C72" s="5" t="inlineStr">
        <is>
          <t>2023-10-19</t>
        </is>
      </c>
      <c r="D72" s="5" t="inlineStr">
        <is>
          <t>신작</t>
        </is>
      </c>
      <c r="E72" s="5" t="inlineStr">
        <is>
          <t>애니메이션</t>
        </is>
      </c>
      <c r="F72" s="5" t="inlineStr">
        <is>
          <t>종영</t>
        </is>
      </c>
      <c r="G72" s="7" t="n">
        <v>46677</v>
      </c>
      <c r="H72" s="7" t="n">
        <v>10330</v>
      </c>
      <c r="I72" s="7" t="n">
        <v>78</v>
      </c>
      <c r="J72" s="7" t="n">
        <v>1155</v>
      </c>
      <c r="K72" s="8">
        <f>IFERROR(G72/H72,"")</f>
        <v/>
      </c>
      <c r="L72" s="13">
        <f>IFERROR(J72/H72,"")</f>
        <v/>
      </c>
      <c r="M72" s="7" t="n">
        <v>78</v>
      </c>
      <c r="N72" s="19" t="n">
        <v>8.199999999999999</v>
      </c>
      <c r="O72" s="19" t="n">
        <v>158</v>
      </c>
      <c r="P72" s="7" t="n">
        <v>47</v>
      </c>
      <c r="Q72" s="5" t="inlineStr">
        <is>
          <t>2023-10-09</t>
        </is>
      </c>
      <c r="R72" s="5" t="inlineStr">
        <is>
          <t>2024-09-01</t>
        </is>
      </c>
      <c r="S72" s="5" t="inlineStr">
        <is>
          <t>애니메이션</t>
        </is>
      </c>
      <c r="T72" s="5" t="inlineStr">
        <is>
          <t>일본</t>
        </is>
      </c>
      <c r="U72" s="5" t="inlineStr">
        <is>
          <t>메가박스중앙(주)</t>
        </is>
      </c>
    </row>
    <row r="73">
      <c r="A73" s="5" t="inlineStr">
        <is>
          <t>기동전사 건담 지쿠악스 비기닝</t>
        </is>
      </c>
      <c r="B73" s="5" t="inlineStr">
        <is>
          <t>2025-04-02</t>
        </is>
      </c>
      <c r="C73" s="5" t="inlineStr">
        <is>
          <t>2025-04-02</t>
        </is>
      </c>
      <c r="D73" s="5" t="inlineStr">
        <is>
          <t>신작</t>
        </is>
      </c>
      <c r="E73" s="5" t="inlineStr">
        <is>
          <t>애니메이션</t>
        </is>
      </c>
      <c r="F73" s="5" t="inlineStr">
        <is>
          <t>종영</t>
        </is>
      </c>
      <c r="G73" s="7" t="n">
        <v>42588</v>
      </c>
      <c r="H73" s="7" t="n">
        <v>53964</v>
      </c>
      <c r="I73" s="7" t="n">
        <v>174</v>
      </c>
      <c r="J73" s="7" t="n">
        <v>3325</v>
      </c>
      <c r="K73" s="8">
        <f>IFERROR(G73/H73,"")</f>
        <v/>
      </c>
      <c r="L73" s="13">
        <f>IFERROR(J73/H73,"")</f>
        <v/>
      </c>
      <c r="M73" s="7" t="n">
        <v>173</v>
      </c>
      <c r="N73" s="19" t="n">
        <v>59.8</v>
      </c>
      <c r="O73" s="19" t="n">
        <v>183</v>
      </c>
      <c r="P73" s="7" t="n">
        <v>10</v>
      </c>
      <c r="Q73" s="5" t="inlineStr">
        <is>
          <t>2025-03-24</t>
        </is>
      </c>
      <c r="R73" s="5" t="inlineStr">
        <is>
          <t>2025-06-01</t>
        </is>
      </c>
      <c r="S73" s="5" t="inlineStr">
        <is>
          <t>애니메이션</t>
        </is>
      </c>
      <c r="T73" s="5" t="inlineStr">
        <is>
          <t>일본</t>
        </is>
      </c>
      <c r="U73" s="5" t="inlineStr">
        <is>
          <t>워터홀컴퍼니(주)</t>
        </is>
      </c>
    </row>
    <row r="74">
      <c r="A74" s="5" t="inlineStr">
        <is>
          <t>극장판 아이돌리쉬 세븐; 라이브 4비트 비욘드 더 피리어드 - 데이 1</t>
        </is>
      </c>
      <c r="B74" s="5" t="inlineStr">
        <is>
          <t>2023-10-19</t>
        </is>
      </c>
      <c r="C74" s="5" t="inlineStr">
        <is>
          <t>2023-10-19</t>
        </is>
      </c>
      <c r="D74" s="5" t="inlineStr">
        <is>
          <t>신작</t>
        </is>
      </c>
      <c r="E74" s="5" t="inlineStr">
        <is>
          <t>애니메이션</t>
        </is>
      </c>
      <c r="F74" s="5" t="inlineStr">
        <is>
          <t>종영</t>
        </is>
      </c>
      <c r="G74" s="7" t="n">
        <v>32868</v>
      </c>
      <c r="H74" s="7" t="n">
        <v>10355</v>
      </c>
      <c r="I74" s="7" t="n">
        <v>79</v>
      </c>
      <c r="J74" s="7" t="n">
        <v>1023</v>
      </c>
      <c r="K74" s="8">
        <f>IFERROR(G74/H74,"")</f>
        <v/>
      </c>
      <c r="L74" s="13">
        <f>IFERROR(J74/H74,"")</f>
        <v/>
      </c>
      <c r="M74" s="7" t="n">
        <v>79</v>
      </c>
      <c r="N74" s="19" t="n">
        <v>7.5</v>
      </c>
      <c r="O74" s="19" t="n">
        <v>159</v>
      </c>
      <c r="P74" s="7" t="n">
        <v>48</v>
      </c>
      <c r="Q74" s="5" t="inlineStr">
        <is>
          <t>2023-10-09</t>
        </is>
      </c>
      <c r="R74" s="5" t="inlineStr">
        <is>
          <t>2024-09-08</t>
        </is>
      </c>
      <c r="S74" s="5" t="inlineStr">
        <is>
          <t>애니메이션</t>
        </is>
      </c>
      <c r="T74" s="5" t="inlineStr">
        <is>
          <t>일본</t>
        </is>
      </c>
      <c r="U74" s="5" t="inlineStr">
        <is>
          <t>메가박스중앙(주)</t>
        </is>
      </c>
    </row>
    <row r="75">
      <c r="A75" s="5" t="inlineStr">
        <is>
          <t>엔드 오브 에반게리온</t>
        </is>
      </c>
      <c r="B75" s="5" t="inlineStr">
        <is>
          <t>2024-01-17</t>
        </is>
      </c>
      <c r="C75" s="5" t="inlineStr">
        <is>
          <t>2024-01-17</t>
        </is>
      </c>
      <c r="D75" s="5" t="inlineStr">
        <is>
          <t>신작</t>
        </is>
      </c>
      <c r="E75" s="5" t="inlineStr">
        <is>
          <t>애니메이션</t>
        </is>
      </c>
      <c r="F75" s="5" t="inlineStr">
        <is>
          <t>종영</t>
        </is>
      </c>
      <c r="G75" s="7" t="n">
        <v>32443</v>
      </c>
      <c r="H75" s="7" t="n">
        <v>32338</v>
      </c>
      <c r="I75" s="7" t="n">
        <v>109</v>
      </c>
      <c r="J75" s="7" t="n">
        <v>6323</v>
      </c>
      <c r="K75" s="8">
        <f>IFERROR(G75/H75,"")</f>
        <v/>
      </c>
      <c r="L75" s="13">
        <f>IFERROR(J75/H75,"")</f>
        <v/>
      </c>
      <c r="M75" s="7" t="n">
        <v>122</v>
      </c>
      <c r="N75" s="19" t="n">
        <v>46.7</v>
      </c>
      <c r="O75" s="19" t="n">
        <v>207</v>
      </c>
      <c r="P75" s="7" t="n">
        <v>7</v>
      </c>
      <c r="Q75" s="5" t="inlineStr">
        <is>
          <t>2024-01-15</t>
        </is>
      </c>
      <c r="R75" s="5" t="inlineStr">
        <is>
          <t>2024-03-03</t>
        </is>
      </c>
      <c r="S75" s="5" t="inlineStr">
        <is>
          <t>애니메이션</t>
        </is>
      </c>
      <c r="T75" s="5" t="inlineStr">
        <is>
          <t>일본</t>
        </is>
      </c>
      <c r="U75" s="5" t="inlineStr">
        <is>
          <t>(주)삼백상회,(주)라이크콘텐츠</t>
        </is>
      </c>
    </row>
    <row r="76">
      <c r="A76" s="5" t="inlineStr">
        <is>
          <t>극장판 닌자보이 란타로: 도쿠타케 닌자대 최강의 군사</t>
        </is>
      </c>
      <c r="B76" s="5" t="inlineStr">
        <is>
          <t>2025-05-14</t>
        </is>
      </c>
      <c r="C76" s="5" t="inlineStr">
        <is>
          <t>2025-05-14</t>
        </is>
      </c>
      <c r="D76" s="5" t="inlineStr">
        <is>
          <t>신작</t>
        </is>
      </c>
      <c r="E76" s="5" t="inlineStr">
        <is>
          <t>애니메이션</t>
        </is>
      </c>
      <c r="F76" s="5" t="inlineStr">
        <is>
          <t>종영</t>
        </is>
      </c>
      <c r="G76" s="7" t="n">
        <v>30800</v>
      </c>
      <c r="H76" s="7" t="n">
        <v>31563</v>
      </c>
      <c r="I76" s="7" t="n">
        <v>136</v>
      </c>
      <c r="J76" s="7" t="n">
        <v>2001</v>
      </c>
      <c r="K76" s="8">
        <f>IFERROR(G76/H76,"")</f>
        <v/>
      </c>
      <c r="L76" s="13">
        <f>IFERROR(J76/H76,"")</f>
        <v/>
      </c>
      <c r="M76" s="7" t="n">
        <v>135</v>
      </c>
      <c r="N76" s="19" t="n">
        <v>44.6</v>
      </c>
      <c r="O76" s="19" t="n">
        <v>142</v>
      </c>
      <c r="P76" s="7" t="n">
        <v>10</v>
      </c>
      <c r="Q76" s="5" t="inlineStr">
        <is>
          <t>2025-05-05</t>
        </is>
      </c>
      <c r="R76" s="5" t="inlineStr">
        <is>
          <t>2025-07-13</t>
        </is>
      </c>
      <c r="S76" s="5" t="inlineStr">
        <is>
          <t>애니메이션</t>
        </is>
      </c>
      <c r="T76" s="5" t="inlineStr">
        <is>
          <t>일본</t>
        </is>
      </c>
      <c r="U76" s="5" t="inlineStr">
        <is>
          <t>(주)디스테이션</t>
        </is>
      </c>
    </row>
    <row r="77">
      <c r="A77" s="5" t="inlineStr">
        <is>
          <t>극장판 내 마음의 위험한 녀석</t>
        </is>
      </c>
      <c r="B77" s="5" t="inlineStr">
        <is>
          <t>2026-05-21</t>
        </is>
      </c>
      <c r="C77" s="5" t="inlineStr">
        <is>
          <t>2026-05-21</t>
        </is>
      </c>
      <c r="D77" s="5" t="inlineStr">
        <is>
          <t>신작</t>
        </is>
      </c>
      <c r="E77" s="5" t="inlineStr">
        <is>
          <t>애니메이션</t>
        </is>
      </c>
      <c r="F77" s="5" t="inlineStr">
        <is>
          <t>종영</t>
        </is>
      </c>
      <c r="G77" s="7" t="n">
        <v>30333</v>
      </c>
      <c r="H77" s="7" t="n">
        <v>20631</v>
      </c>
      <c r="I77" s="7" t="n">
        <v>115</v>
      </c>
      <c r="J77" s="7" t="n">
        <v>3895</v>
      </c>
      <c r="K77" s="8">
        <f>IFERROR(G77/H77,"")</f>
        <v/>
      </c>
      <c r="L77" s="13">
        <f>IFERROR(J77/H77,"")</f>
        <v/>
      </c>
      <c r="M77" s="7" t="n">
        <v>115</v>
      </c>
      <c r="N77" s="19" t="n">
        <v>38.4</v>
      </c>
      <c r="O77" s="19" t="n">
        <v>132</v>
      </c>
      <c r="P77" s="7" t="n">
        <v>7</v>
      </c>
      <c r="Q77" s="5" t="inlineStr">
        <is>
          <t>2026-05-18</t>
        </is>
      </c>
      <c r="R77" s="5" t="inlineStr">
        <is>
          <t>2026-07-05</t>
        </is>
      </c>
      <c r="S77" s="5" t="inlineStr">
        <is>
          <t>애니메이션</t>
        </is>
      </c>
      <c r="T77" s="5" t="inlineStr">
        <is>
          <t>일본</t>
        </is>
      </c>
      <c r="U77" s="5" t="inlineStr">
        <is>
          <t>(주)애니플러스</t>
        </is>
      </c>
    </row>
    <row r="78">
      <c r="A78" s="5" t="inlineStr">
        <is>
          <t>카드캡터 체리 극장판</t>
        </is>
      </c>
      <c r="B78" s="5" t="inlineStr">
        <is>
          <t>2026-05-28</t>
        </is>
      </c>
      <c r="C78" s="5" t="inlineStr">
        <is>
          <t>2026-05-28</t>
        </is>
      </c>
      <c r="D78" s="5" t="inlineStr">
        <is>
          <t>신작</t>
        </is>
      </c>
      <c r="E78" s="5" t="inlineStr">
        <is>
          <t>애니메이션</t>
        </is>
      </c>
      <c r="F78" s="5" t="inlineStr">
        <is>
          <t>종영</t>
        </is>
      </c>
      <c r="G78" s="7" t="n">
        <v>20238</v>
      </c>
      <c r="H78" s="7" t="n">
        <v>25681</v>
      </c>
      <c r="I78" s="7" t="n">
        <v>162</v>
      </c>
      <c r="J78" s="7" t="n">
        <v>4456</v>
      </c>
      <c r="K78" s="8">
        <f>IFERROR(G78/H78,"")</f>
        <v/>
      </c>
      <c r="L78" s="13">
        <f>IFERROR(J78/H78,"")</f>
        <v/>
      </c>
      <c r="M78" s="7" t="n">
        <v>159</v>
      </c>
      <c r="N78" s="19" t="n">
        <v>34.3</v>
      </c>
      <c r="O78" s="19" t="n">
        <v>127</v>
      </c>
      <c r="P78" s="7" t="n">
        <v>8</v>
      </c>
      <c r="Q78" s="5" t="inlineStr">
        <is>
          <t>2026-05-25</t>
        </is>
      </c>
      <c r="R78" s="5" t="inlineStr">
        <is>
          <t>2026-07-19</t>
        </is>
      </c>
      <c r="S78" s="5" t="inlineStr">
        <is>
          <t>애니메이션</t>
        </is>
      </c>
      <c r="T78" s="5" t="inlineStr">
        <is>
          <t>일본</t>
        </is>
      </c>
      <c r="U78" s="5" t="inlineStr">
        <is>
          <t>(주)삼백상회</t>
        </is>
      </c>
    </row>
    <row r="79">
      <c r="A79" s="5" t="inlineStr">
        <is>
          <t>극장판 총집편 걸즈 밴드 크라이 청춘광주곡</t>
        </is>
      </c>
      <c r="B79" s="5" t="inlineStr">
        <is>
          <t>2026-01-28</t>
        </is>
      </c>
      <c r="C79" s="5" t="inlineStr">
        <is>
          <t>2026-01-28</t>
        </is>
      </c>
      <c r="D79" s="5" t="inlineStr">
        <is>
          <t>신작</t>
        </is>
      </c>
      <c r="E79" s="5" t="inlineStr">
        <is>
          <t>애니메이션</t>
        </is>
      </c>
      <c r="F79" s="5" t="inlineStr">
        <is>
          <t>종영</t>
        </is>
      </c>
      <c r="G79" s="7" t="n">
        <v>20191</v>
      </c>
      <c r="H79" s="7" t="n">
        <v>32387</v>
      </c>
      <c r="I79" s="7" t="n">
        <v>130</v>
      </c>
      <c r="J79" s="7" t="n">
        <v>5344</v>
      </c>
      <c r="K79" s="8">
        <f>IFERROR(G79/H79,"")</f>
        <v/>
      </c>
      <c r="L79" s="13">
        <f>IFERROR(J79/H79,"")</f>
        <v/>
      </c>
      <c r="M79" s="7" t="n">
        <v>129</v>
      </c>
      <c r="N79" s="19" t="n">
        <v>32.3</v>
      </c>
      <c r="O79" s="19" t="n">
        <v>167</v>
      </c>
      <c r="P79" s="7" t="n">
        <v>8</v>
      </c>
      <c r="Q79" s="5" t="inlineStr">
        <is>
          <t>2026-01-26</t>
        </is>
      </c>
      <c r="R79" s="5" t="inlineStr">
        <is>
          <t>2026-03-22</t>
        </is>
      </c>
      <c r="S79" s="5" t="inlineStr">
        <is>
          <t>애니메이션</t>
        </is>
      </c>
      <c r="T79" s="5" t="inlineStr">
        <is>
          <t>일본</t>
        </is>
      </c>
      <c r="U79" s="5" t="inlineStr">
        <is>
          <t>(주)애니플러스</t>
        </is>
      </c>
    </row>
    <row r="80">
      <c r="A80" s="5" t="inlineStr">
        <is>
          <t>극장판 전생했더니 슬라임이었던 건에 대하여: 홍련의 인연편</t>
        </is>
      </c>
      <c r="B80" s="5" t="inlineStr">
        <is>
          <t>2023-02-02</t>
        </is>
      </c>
      <c r="C80" s="5" t="inlineStr">
        <is>
          <t>2023-02-02</t>
        </is>
      </c>
      <c r="D80" s="5" t="inlineStr">
        <is>
          <t>신작</t>
        </is>
      </c>
      <c r="E80" s="5" t="inlineStr">
        <is>
          <t>애니메이션</t>
        </is>
      </c>
      <c r="F80" s="5" t="inlineStr">
        <is>
          <t>종영</t>
        </is>
      </c>
      <c r="G80" s="7" t="n">
        <v>19711</v>
      </c>
      <c r="H80" s="7" t="n">
        <v>34348</v>
      </c>
      <c r="I80" s="7" t="n">
        <v>114</v>
      </c>
      <c r="J80" s="7" t="n">
        <v>3397</v>
      </c>
      <c r="K80" s="8">
        <f>IFERROR(G80/H80,"")</f>
        <v/>
      </c>
      <c r="L80" s="13">
        <f>IFERROR(J80/H80,"")</f>
        <v/>
      </c>
      <c r="M80" s="7" t="n">
        <v>114</v>
      </c>
      <c r="N80" s="19" t="n">
        <v>35.7</v>
      </c>
      <c r="O80" s="19" t="n">
        <v>195</v>
      </c>
      <c r="P80" s="7" t="n">
        <v>8</v>
      </c>
      <c r="Q80" s="5" t="inlineStr">
        <is>
          <t>2023-01-30</t>
        </is>
      </c>
      <c r="R80" s="5" t="inlineStr">
        <is>
          <t>2023-03-26</t>
        </is>
      </c>
      <c r="S80" s="5" t="inlineStr">
        <is>
          <t>애니메이션,판타지,액션</t>
        </is>
      </c>
      <c r="T80" s="5" t="inlineStr">
        <is>
          <t>일본</t>
        </is>
      </c>
      <c r="U80" s="5" t="inlineStr">
        <is>
          <t>(주)애니플러스</t>
        </is>
      </c>
    </row>
    <row r="81">
      <c r="A81" s="5" t="inlineStr">
        <is>
          <t>청춘 돼지는 책가방 소녀의 꿈을 꾸지 않는다</t>
        </is>
      </c>
      <c r="B81" s="5" t="inlineStr">
        <is>
          <t>2024-02-01</t>
        </is>
      </c>
      <c r="C81" s="5" t="inlineStr">
        <is>
          <t>2024-02-01</t>
        </is>
      </c>
      <c r="D81" s="5" t="inlineStr">
        <is>
          <t>신작</t>
        </is>
      </c>
      <c r="E81" s="5" t="inlineStr">
        <is>
          <t>애니메이션</t>
        </is>
      </c>
      <c r="F81" s="5" t="inlineStr">
        <is>
          <t>종영</t>
        </is>
      </c>
      <c r="G81" s="7" t="n">
        <v>19156</v>
      </c>
      <c r="H81" s="7" t="n">
        <v>17849</v>
      </c>
      <c r="I81" s="7" t="n">
        <v>84</v>
      </c>
      <c r="J81" s="7" t="n">
        <v>3976</v>
      </c>
      <c r="K81" s="8">
        <f>IFERROR(G81/H81,"")</f>
        <v/>
      </c>
      <c r="L81" s="13">
        <f>IFERROR(J81/H81,"")</f>
        <v/>
      </c>
      <c r="M81" s="7" t="n">
        <v>84</v>
      </c>
      <c r="N81" s="19" t="n">
        <v>33.2</v>
      </c>
      <c r="O81" s="19" t="n">
        <v>156</v>
      </c>
      <c r="P81" s="7" t="n">
        <v>7</v>
      </c>
      <c r="Q81" s="5" t="inlineStr">
        <is>
          <t>2024-01-29</t>
        </is>
      </c>
      <c r="R81" s="5" t="inlineStr">
        <is>
          <t>2024-03-17</t>
        </is>
      </c>
      <c r="S81" s="5" t="inlineStr">
        <is>
          <t>애니메이션</t>
        </is>
      </c>
      <c r="T81" s="5" t="inlineStr">
        <is>
          <t>일본</t>
        </is>
      </c>
      <c r="U81" s="5" t="inlineStr">
        <is>
          <t>(주)애니플러스</t>
        </is>
      </c>
    </row>
    <row r="82">
      <c r="A82" s="5" t="inlineStr">
        <is>
          <t>극장판 총집편 걸즈 밴드 크라이 있잖아, 미래.</t>
        </is>
      </c>
      <c r="B82" s="5" t="inlineStr">
        <is>
          <t>2026-04-16</t>
        </is>
      </c>
      <c r="C82" s="5" t="inlineStr">
        <is>
          <t>2026-04-16</t>
        </is>
      </c>
      <c r="D82" s="5" t="inlineStr">
        <is>
          <t>신작</t>
        </is>
      </c>
      <c r="E82" s="5" t="inlineStr">
        <is>
          <t>애니메이션</t>
        </is>
      </c>
      <c r="F82" s="5" t="inlineStr">
        <is>
          <t>종영</t>
        </is>
      </c>
      <c r="G82" s="7" t="n">
        <v>17847</v>
      </c>
      <c r="H82" s="7" t="n">
        <v>19187</v>
      </c>
      <c r="I82" s="7" t="n">
        <v>100</v>
      </c>
      <c r="J82" s="7" t="n">
        <v>2920</v>
      </c>
      <c r="K82" s="8">
        <f>IFERROR(G82/H82,"")</f>
        <v/>
      </c>
      <c r="L82" s="13">
        <f>IFERROR(J82/H82,"")</f>
        <v/>
      </c>
      <c r="M82" s="7" t="n">
        <v>100</v>
      </c>
      <c r="N82" s="19" t="n">
        <v>22.8</v>
      </c>
      <c r="O82" s="19" t="n">
        <v>151</v>
      </c>
      <c r="P82" s="7" t="n">
        <v>8</v>
      </c>
      <c r="Q82" s="5" t="inlineStr">
        <is>
          <t>2026-04-13</t>
        </is>
      </c>
      <c r="R82" s="5" t="inlineStr">
        <is>
          <t>2026-06-07</t>
        </is>
      </c>
      <c r="S82" s="5" t="inlineStr">
        <is>
          <t>애니메이션</t>
        </is>
      </c>
      <c r="T82" s="5" t="inlineStr">
        <is>
          <t>일본</t>
        </is>
      </c>
      <c r="U82" s="5" t="inlineStr">
        <is>
          <t>(주)애니플러스</t>
        </is>
      </c>
    </row>
    <row r="83">
      <c r="A83" s="5" t="inlineStr">
        <is>
          <t>극장판 츠루네: 시작의 한 발</t>
        </is>
      </c>
      <c r="B83" s="5" t="inlineStr">
        <is>
          <t>2024-02-21</t>
        </is>
      </c>
      <c r="C83" s="5" t="inlineStr">
        <is>
          <t>2024-02-21</t>
        </is>
      </c>
      <c r="D83" s="5" t="inlineStr">
        <is>
          <t>신작</t>
        </is>
      </c>
      <c r="E83" s="5" t="inlineStr">
        <is>
          <t>애니메이션</t>
        </is>
      </c>
      <c r="F83" s="5" t="inlineStr">
        <is>
          <t>종영</t>
        </is>
      </c>
      <c r="G83" s="7" t="n">
        <v>16531</v>
      </c>
      <c r="H83" s="7" t="n">
        <v>33564</v>
      </c>
      <c r="I83" s="7" t="n">
        <v>119</v>
      </c>
      <c r="J83" s="7" t="n">
        <v>3654</v>
      </c>
      <c r="K83" s="8">
        <f>IFERROR(G83/H83,"")</f>
        <v/>
      </c>
      <c r="L83" s="13">
        <f>IFERROR(J83/H83,"")</f>
        <v/>
      </c>
      <c r="M83" s="7" t="n">
        <v>118</v>
      </c>
      <c r="N83" s="19" t="n">
        <v>34.3</v>
      </c>
      <c r="O83" s="19" t="n">
        <v>149</v>
      </c>
      <c r="P83" s="7" t="n">
        <v>8</v>
      </c>
      <c r="Q83" s="5" t="inlineStr">
        <is>
          <t>2024-02-12</t>
        </is>
      </c>
      <c r="R83" s="5" t="inlineStr">
        <is>
          <t>2024-04-07</t>
        </is>
      </c>
      <c r="S83" s="5" t="inlineStr">
        <is>
          <t>애니메이션</t>
        </is>
      </c>
      <c r="T83" s="5" t="inlineStr">
        <is>
          <t>일본</t>
        </is>
      </c>
      <c r="U83" s="5" t="inlineStr">
        <is>
          <t>(주)라이크콘텐츠</t>
        </is>
      </c>
    </row>
    <row r="84">
      <c r="A84" s="5" t="inlineStr">
        <is>
          <t>씰벤져스 : 용감한 바다특공대</t>
        </is>
      </c>
      <c r="B84" s="5" t="inlineStr">
        <is>
          <t>2023-09-27</t>
        </is>
      </c>
      <c r="C84" s="5" t="inlineStr">
        <is>
          <t>2023-09-27</t>
        </is>
      </c>
      <c r="D84" s="5" t="inlineStr">
        <is>
          <t>신작</t>
        </is>
      </c>
      <c r="E84" s="5" t="inlineStr">
        <is>
          <t>애니메이션</t>
        </is>
      </c>
      <c r="F84" s="5" t="inlineStr">
        <is>
          <t>종영</t>
        </is>
      </c>
      <c r="G84" s="7" t="n">
        <v>14209</v>
      </c>
      <c r="H84" s="7" t="n">
        <v>10144</v>
      </c>
      <c r="I84" s="7" t="n">
        <v>79</v>
      </c>
      <c r="J84" s="7" t="n">
        <v>608</v>
      </c>
      <c r="K84" s="8">
        <f>IFERROR(G84/H84,"")</f>
        <v/>
      </c>
      <c r="L84" s="13">
        <f>IFERROR(J84/H84,"")</f>
        <v/>
      </c>
      <c r="M84" s="7" t="n">
        <v>109</v>
      </c>
      <c r="N84" s="19" t="n">
        <v>35</v>
      </c>
      <c r="O84" s="19" t="n">
        <v>145</v>
      </c>
      <c r="P84" s="7" t="n">
        <v>8</v>
      </c>
      <c r="Q84" s="5" t="inlineStr">
        <is>
          <t>2023-09-18</t>
        </is>
      </c>
      <c r="R84" s="5" t="inlineStr">
        <is>
          <t>2023-11-12</t>
        </is>
      </c>
      <c r="S84" s="5" t="inlineStr">
        <is>
          <t>애니메이션,액션,코미디,어드벤처</t>
        </is>
      </c>
      <c r="T84" s="5" t="inlineStr">
        <is>
          <t>미국</t>
        </is>
      </c>
      <c r="U84" s="5" t="inlineStr">
        <is>
          <t>(주)무비다이브</t>
        </is>
      </c>
    </row>
    <row r="85">
      <c r="A85" s="5" t="inlineStr">
        <is>
          <t>극장판 오버로드 성왕국편</t>
        </is>
      </c>
      <c r="B85" s="5" t="inlineStr">
        <is>
          <t>2024-11-14</t>
        </is>
      </c>
      <c r="C85" s="5" t="inlineStr">
        <is>
          <t>2024-11-14</t>
        </is>
      </c>
      <c r="D85" s="5" t="inlineStr">
        <is>
          <t>신작</t>
        </is>
      </c>
      <c r="E85" s="5" t="inlineStr">
        <is>
          <t>애니메이션</t>
        </is>
      </c>
      <c r="F85" s="5" t="inlineStr">
        <is>
          <t>종영</t>
        </is>
      </c>
      <c r="G85" s="7" t="n">
        <v>12788</v>
      </c>
      <c r="H85" s="7" t="n">
        <v>13324</v>
      </c>
      <c r="I85" s="7" t="n">
        <v>78</v>
      </c>
      <c r="J85" s="7" t="n">
        <v>2040</v>
      </c>
      <c r="K85" s="8">
        <f>IFERROR(G85/H85,"")</f>
        <v/>
      </c>
      <c r="L85" s="13">
        <f>IFERROR(J85/H85,"")</f>
        <v/>
      </c>
      <c r="M85" s="7" t="n">
        <v>78</v>
      </c>
      <c r="N85" s="19" t="n">
        <v>33.9</v>
      </c>
      <c r="O85" s="19" t="n">
        <v>130</v>
      </c>
      <c r="P85" s="7" t="n">
        <v>7</v>
      </c>
      <c r="Q85" s="5" t="inlineStr">
        <is>
          <t>2024-11-11</t>
        </is>
      </c>
      <c r="R85" s="5" t="inlineStr">
        <is>
          <t>2024-12-29</t>
        </is>
      </c>
      <c r="S85" s="5" t="inlineStr">
        <is>
          <t>애니메이션</t>
        </is>
      </c>
      <c r="T85" s="5" t="inlineStr">
        <is>
          <t>일본</t>
        </is>
      </c>
      <c r="U85" s="5" t="inlineStr">
        <is>
          <t>(주)애니플러스</t>
        </is>
      </c>
    </row>
    <row r="86">
      <c r="A86" s="5" t="inlineStr">
        <is>
          <t>그리드맨 유니버스</t>
        </is>
      </c>
      <c r="B86" s="5" t="inlineStr">
        <is>
          <t>2025-05-21</t>
        </is>
      </c>
      <c r="C86" s="5" t="inlineStr">
        <is>
          <t>2025-05-21</t>
        </is>
      </c>
      <c r="D86" s="5" t="inlineStr">
        <is>
          <t>신작</t>
        </is>
      </c>
      <c r="E86" s="5" t="inlineStr">
        <is>
          <t>애니메이션</t>
        </is>
      </c>
      <c r="F86" s="5" t="inlineStr">
        <is>
          <t>종영</t>
        </is>
      </c>
      <c r="G86" s="7" t="n">
        <v>12510</v>
      </c>
      <c r="H86" s="7" t="n">
        <v>22581</v>
      </c>
      <c r="I86" s="7" t="n">
        <v>102</v>
      </c>
      <c r="J86" s="7" t="n">
        <v>1608</v>
      </c>
      <c r="K86" s="8">
        <f>IFERROR(G86/H86,"")</f>
        <v/>
      </c>
      <c r="L86" s="13">
        <f>IFERROR(J86/H86,"")</f>
        <v/>
      </c>
      <c r="M86" s="7" t="n">
        <v>101</v>
      </c>
      <c r="N86" s="19" t="n">
        <v>31.8</v>
      </c>
      <c r="O86" s="19" t="n">
        <v>148</v>
      </c>
      <c r="P86" s="7" t="n">
        <v>8</v>
      </c>
      <c r="Q86" s="5" t="inlineStr">
        <is>
          <t>2025-05-12</t>
        </is>
      </c>
      <c r="R86" s="5" t="inlineStr">
        <is>
          <t>2025-07-06</t>
        </is>
      </c>
      <c r="S86" s="5" t="inlineStr">
        <is>
          <t>애니메이션</t>
        </is>
      </c>
      <c r="T86" s="5" t="inlineStr">
        <is>
          <t>일본</t>
        </is>
      </c>
      <c r="U86" s="5" t="inlineStr">
        <is>
          <t>(주)미디어캐슬</t>
        </is>
      </c>
    </row>
    <row r="87">
      <c r="A87" s="5" t="inlineStr">
        <is>
          <t>킹 오브 프리즘 -드라마틱 프리즘.1-</t>
        </is>
      </c>
      <c r="B87" s="5" t="inlineStr">
        <is>
          <t>2024-08-16</t>
        </is>
      </c>
      <c r="C87" s="5" t="inlineStr">
        <is>
          <t>2024-08-16</t>
        </is>
      </c>
      <c r="D87" s="5" t="inlineStr">
        <is>
          <t>신작</t>
        </is>
      </c>
      <c r="E87" s="5" t="inlineStr">
        <is>
          <t>애니메이션</t>
        </is>
      </c>
      <c r="F87" s="5" t="inlineStr">
        <is>
          <t>종영</t>
        </is>
      </c>
      <c r="G87" s="7" t="n">
        <v>12396</v>
      </c>
      <c r="H87" s="7" t="n">
        <v>10626</v>
      </c>
      <c r="I87" s="7" t="n">
        <v>59</v>
      </c>
      <c r="J87" s="7" t="n">
        <v>734</v>
      </c>
      <c r="K87" s="8">
        <f>IFERROR(G87/H87,"")</f>
        <v/>
      </c>
      <c r="L87" s="13">
        <f>IFERROR(J87/H87,"")</f>
        <v/>
      </c>
      <c r="M87" s="7" t="n">
        <v>59</v>
      </c>
      <c r="N87" s="19" t="n">
        <v>7.6</v>
      </c>
      <c r="O87" s="19" t="n">
        <v>172</v>
      </c>
      <c r="P87" s="7" t="n">
        <v>22</v>
      </c>
      <c r="Q87" s="5" t="inlineStr">
        <is>
          <t>2024-08-12</t>
        </is>
      </c>
      <c r="R87" s="5" t="inlineStr">
        <is>
          <t>2025-01-12</t>
        </is>
      </c>
      <c r="S87" s="5" t="inlineStr">
        <is>
          <t>애니메이션,드라마</t>
        </is>
      </c>
      <c r="T87" s="5" t="inlineStr">
        <is>
          <t>일본</t>
        </is>
      </c>
      <c r="U87" s="5" t="inlineStr">
        <is>
          <t>동우에이앤이(주)</t>
        </is>
      </c>
    </row>
    <row r="88">
      <c r="A88" s="5" t="inlineStr">
        <is>
          <t>영화 러브 라이브! 니지가사키 학원 스쿨 아이돌 동호회 완결편 제1장</t>
        </is>
      </c>
      <c r="B88" s="5" t="inlineStr">
        <is>
          <t>2025-02-06</t>
        </is>
      </c>
      <c r="C88" s="5" t="inlineStr">
        <is>
          <t>2025-02-06</t>
        </is>
      </c>
      <c r="D88" s="5" t="inlineStr">
        <is>
          <t>신작</t>
        </is>
      </c>
      <c r="E88" s="5" t="inlineStr">
        <is>
          <t>애니메이션</t>
        </is>
      </c>
      <c r="F88" s="5" t="inlineStr">
        <is>
          <t>종영</t>
        </is>
      </c>
      <c r="G88" s="7" t="n">
        <v>10914</v>
      </c>
      <c r="H88" s="7" t="n">
        <v>26756</v>
      </c>
      <c r="I88" s="7" t="n">
        <v>110</v>
      </c>
      <c r="J88" s="7" t="n">
        <v>1620</v>
      </c>
      <c r="K88" s="8">
        <f>IFERROR(G88/H88,"")</f>
        <v/>
      </c>
      <c r="L88" s="13">
        <f>IFERROR(J88/H88,"")</f>
        <v/>
      </c>
      <c r="M88" s="7" t="n">
        <v>110</v>
      </c>
      <c r="N88" s="19" t="n">
        <v>26</v>
      </c>
      <c r="O88" s="19" t="n">
        <v>160</v>
      </c>
      <c r="P88" s="7" t="n">
        <v>11</v>
      </c>
      <c r="Q88" s="5" t="inlineStr">
        <is>
          <t>2025-02-03</t>
        </is>
      </c>
      <c r="R88" s="5" t="inlineStr">
        <is>
          <t>2025-04-20</t>
        </is>
      </c>
      <c r="S88" s="5" t="inlineStr">
        <is>
          <t>애니메이션</t>
        </is>
      </c>
      <c r="T88" s="5" t="inlineStr">
        <is>
          <t>일본</t>
        </is>
      </c>
      <c r="U88" s="5" t="inlineStr">
        <is>
          <t>(주)애니플러스</t>
        </is>
      </c>
    </row>
    <row r="89">
      <c r="A89" s="5" t="inlineStr">
        <is>
          <t>좀비 랜드 사가: 유메긴가 파라다이스</t>
        </is>
      </c>
      <c r="B89" s="5" t="inlineStr">
        <is>
          <t>2026-03-04</t>
        </is>
      </c>
      <c r="C89" s="5" t="inlineStr">
        <is>
          <t>2026-03-04</t>
        </is>
      </c>
      <c r="D89" s="5" t="inlineStr">
        <is>
          <t>신작</t>
        </is>
      </c>
      <c r="E89" s="5" t="inlineStr">
        <is>
          <t>애니메이션</t>
        </is>
      </c>
      <c r="F89" s="5" t="inlineStr">
        <is>
          <t>종영</t>
        </is>
      </c>
      <c r="G89" s="7" t="n">
        <v>9851</v>
      </c>
      <c r="H89" s="7" t="n">
        <v>15447</v>
      </c>
      <c r="I89" s="7" t="n">
        <v>104</v>
      </c>
      <c r="J89" s="7" t="n">
        <v>804</v>
      </c>
      <c r="K89" s="8">
        <f>IFERROR(G89/H89,"")</f>
        <v/>
      </c>
      <c r="L89" s="13">
        <f>IFERROR(J89/H89,"")</f>
        <v/>
      </c>
      <c r="M89" s="7" t="n">
        <v>100</v>
      </c>
      <c r="N89" s="19" t="n">
        <v>25.4</v>
      </c>
      <c r="O89" s="19" t="n">
        <v>118</v>
      </c>
      <c r="P89" s="7" t="n">
        <v>11</v>
      </c>
      <c r="Q89" s="5" t="inlineStr">
        <is>
          <t>2026-03-02</t>
        </is>
      </c>
      <c r="R89" s="5" t="inlineStr">
        <is>
          <t>2026-05-17</t>
        </is>
      </c>
      <c r="S89" s="5" t="inlineStr">
        <is>
          <t>애니메이션</t>
        </is>
      </c>
      <c r="T89" s="5" t="inlineStr">
        <is>
          <t>일본</t>
        </is>
      </c>
      <c r="U89" s="5" t="inlineStr">
        <is>
          <t>메가박스중앙(주)</t>
        </is>
      </c>
    </row>
    <row r="90">
      <c r="A90" s="5" t="inlineStr">
        <is>
          <t>극장판 다이노맨: 공룡산의 비밀</t>
        </is>
      </c>
      <c r="B90" s="5" t="inlineStr">
        <is>
          <t>2025-07-25</t>
        </is>
      </c>
      <c r="C90" s="5" t="inlineStr">
        <is>
          <t>2025-07-25</t>
        </is>
      </c>
      <c r="D90" s="5" t="inlineStr">
        <is>
          <t>신작</t>
        </is>
      </c>
      <c r="E90" s="5" t="inlineStr">
        <is>
          <t>애니메이션</t>
        </is>
      </c>
      <c r="F90" s="5" t="inlineStr">
        <is>
          <t>종영</t>
        </is>
      </c>
      <c r="G90" s="7" t="n">
        <v>9288</v>
      </c>
      <c r="H90" s="7" t="n">
        <v>8031</v>
      </c>
      <c r="I90" s="7" t="n">
        <v>64</v>
      </c>
      <c r="J90" s="7" t="n">
        <v>875</v>
      </c>
      <c r="K90" s="8">
        <f>IFERROR(G90/H90,"")</f>
        <v/>
      </c>
      <c r="L90" s="13">
        <f>IFERROR(J90/H90,"")</f>
        <v/>
      </c>
      <c r="M90" s="7" t="n">
        <v>81</v>
      </c>
      <c r="N90" s="19" t="n">
        <v>13.6</v>
      </c>
      <c r="O90" s="19" t="n">
        <v>113</v>
      </c>
      <c r="P90" s="7" t="n">
        <v>11</v>
      </c>
      <c r="Q90" s="5" t="inlineStr">
        <is>
          <t>2025-07-07</t>
        </is>
      </c>
      <c r="R90" s="5" t="inlineStr">
        <is>
          <t>2025-09-21</t>
        </is>
      </c>
      <c r="S90" s="5" t="inlineStr">
        <is>
          <t>애니메이션</t>
        </is>
      </c>
      <c r="T90" s="5" t="inlineStr">
        <is>
          <t>한국</t>
        </is>
      </c>
      <c r="U90" s="5" t="inlineStr">
        <is>
          <t>(주)엠디에스스피어</t>
        </is>
      </c>
    </row>
    <row r="91">
      <c r="A91" s="5" t="inlineStr">
        <is>
          <t>영화 러브 라이브! 니지가사키 학원 스쿨 아이돌 동호회 완결편 제2장</t>
        </is>
      </c>
      <c r="B91" s="5" t="inlineStr">
        <is>
          <t>2026-02-18</t>
        </is>
      </c>
      <c r="C91" s="5" t="inlineStr">
        <is>
          <t>2026-02-18</t>
        </is>
      </c>
      <c r="D91" s="5" t="inlineStr">
        <is>
          <t>신작</t>
        </is>
      </c>
      <c r="E91" s="5" t="inlineStr">
        <is>
          <t>애니메이션</t>
        </is>
      </c>
      <c r="F91" s="5" t="inlineStr">
        <is>
          <t>종영</t>
        </is>
      </c>
      <c r="G91" s="7" t="n">
        <v>8913</v>
      </c>
      <c r="H91" s="7" t="n">
        <v>14883</v>
      </c>
      <c r="I91" s="7" t="n">
        <v>107</v>
      </c>
      <c r="J91" s="7" t="n">
        <v>2220</v>
      </c>
      <c r="K91" s="8">
        <f>IFERROR(G91/H91,"")</f>
        <v/>
      </c>
      <c r="L91" s="13">
        <f>IFERROR(J91/H91,"")</f>
        <v/>
      </c>
      <c r="M91" s="7" t="n">
        <v>106</v>
      </c>
      <c r="N91" s="19" t="n">
        <v>19.9</v>
      </c>
      <c r="O91" s="19" t="n">
        <v>132</v>
      </c>
      <c r="P91" s="7" t="n">
        <v>9</v>
      </c>
      <c r="Q91" s="5" t="inlineStr">
        <is>
          <t>2026-02-16</t>
        </is>
      </c>
      <c r="R91" s="5" t="inlineStr">
        <is>
          <t>2026-04-19</t>
        </is>
      </c>
      <c r="S91" s="5" t="inlineStr">
        <is>
          <t>애니메이션</t>
        </is>
      </c>
      <c r="T91" s="5" t="inlineStr">
        <is>
          <t>일본</t>
        </is>
      </c>
      <c r="U91" s="5" t="inlineStr">
        <is>
          <t>(주)애니플러스</t>
        </is>
      </c>
    </row>
    <row r="92">
      <c r="A92" s="5" t="inlineStr">
        <is>
          <t>극장판 뱅드림! 잇츠 마이고!!!!! 후편: 노래하자, 우리가 될 수 있는 노래 &amp; 필름 라이브</t>
        </is>
      </c>
      <c r="B92" s="5" t="inlineStr">
        <is>
          <t>2025-06-19</t>
        </is>
      </c>
      <c r="C92" s="5" t="inlineStr">
        <is>
          <t>2025-06-19</t>
        </is>
      </c>
      <c r="D92" s="5" t="inlineStr">
        <is>
          <t>신작</t>
        </is>
      </c>
      <c r="E92" s="5" t="inlineStr">
        <is>
          <t>애니메이션</t>
        </is>
      </c>
      <c r="F92" s="5" t="inlineStr">
        <is>
          <t>종영</t>
        </is>
      </c>
      <c r="G92" s="7" t="n">
        <v>8870</v>
      </c>
      <c r="H92" s="7" t="n">
        <v>16334</v>
      </c>
      <c r="I92" s="7" t="n">
        <v>76</v>
      </c>
      <c r="J92" s="7" t="n">
        <v>3418</v>
      </c>
      <c r="K92" s="8">
        <f>IFERROR(G92/H92,"")</f>
        <v/>
      </c>
      <c r="L92" s="13">
        <f>IFERROR(J92/H92,"")</f>
        <v/>
      </c>
      <c r="M92" s="7" t="n">
        <v>76</v>
      </c>
      <c r="N92" s="19" t="n">
        <v>21.9</v>
      </c>
      <c r="O92" s="19" t="n">
        <v>148</v>
      </c>
      <c r="P92" s="7" t="n">
        <v>6</v>
      </c>
      <c r="Q92" s="5" t="inlineStr">
        <is>
          <t>2025-06-16</t>
        </is>
      </c>
      <c r="R92" s="5" t="inlineStr">
        <is>
          <t>2025-07-27</t>
        </is>
      </c>
      <c r="S92" s="5" t="inlineStr">
        <is>
          <t>애니메이션</t>
        </is>
      </c>
      <c r="T92" s="5" t="inlineStr">
        <is>
          <t>일본</t>
        </is>
      </c>
      <c r="U92" s="5" t="inlineStr">
        <is>
          <t>(주)애니플러스</t>
        </is>
      </c>
    </row>
    <row r="93">
      <c r="A93" s="5" t="inlineStr">
        <is>
          <t>광장</t>
        </is>
      </c>
      <c r="B93" s="5" t="inlineStr">
        <is>
          <t>2026-01-15</t>
        </is>
      </c>
      <c r="C93" s="5" t="inlineStr">
        <is>
          <t>2026-01-15</t>
        </is>
      </c>
      <c r="D93" s="5" t="inlineStr">
        <is>
          <t>신작</t>
        </is>
      </c>
      <c r="E93" s="5" t="inlineStr">
        <is>
          <t>애니메이션</t>
        </is>
      </c>
      <c r="F93" s="5" t="inlineStr">
        <is>
          <t>종영</t>
        </is>
      </c>
      <c r="G93" s="7" t="n">
        <v>8107</v>
      </c>
      <c r="H93" s="7" t="n">
        <v>22388</v>
      </c>
      <c r="I93" s="7" t="n">
        <v>125</v>
      </c>
      <c r="J93" s="7" t="n">
        <v>1272</v>
      </c>
      <c r="K93" s="8">
        <f>IFERROR(G93/H93,"")</f>
        <v/>
      </c>
      <c r="L93" s="13">
        <f>IFERROR(J93/H93,"")</f>
        <v/>
      </c>
      <c r="M93" s="7" t="n">
        <v>70</v>
      </c>
      <c r="N93" s="19" t="n">
        <v>39</v>
      </c>
      <c r="O93" s="19" t="n">
        <v>134</v>
      </c>
      <c r="P93" s="7" t="n">
        <v>6</v>
      </c>
      <c r="Q93" s="5" t="inlineStr">
        <is>
          <t>2026-01-05</t>
        </is>
      </c>
      <c r="R93" s="5" t="inlineStr">
        <is>
          <t>2026-02-15</t>
        </is>
      </c>
      <c r="S93" s="5" t="inlineStr">
        <is>
          <t>애니메이션</t>
        </is>
      </c>
      <c r="T93" s="5" t="inlineStr">
        <is>
          <t>한국</t>
        </is>
      </c>
      <c r="U93" s="5" t="inlineStr">
        <is>
          <t>(주)스튜디오디에이치엘</t>
        </is>
      </c>
    </row>
    <row r="94">
      <c r="A94" s="5" t="inlineStr">
        <is>
          <t>극장판 뱅드림! 잇츠 마이고!!!!! 전편: 봄의 양지, 방황하는 고양이</t>
        </is>
      </c>
      <c r="B94" s="5" t="inlineStr">
        <is>
          <t>2025-04-24</t>
        </is>
      </c>
      <c r="C94" s="5" t="inlineStr">
        <is>
          <t>2025-04-24</t>
        </is>
      </c>
      <c r="D94" s="5" t="inlineStr">
        <is>
          <t>신작</t>
        </is>
      </c>
      <c r="E94" s="5" t="inlineStr">
        <is>
          <t>애니메이션</t>
        </is>
      </c>
      <c r="F94" s="5" t="inlineStr">
        <is>
          <t>종영</t>
        </is>
      </c>
      <c r="G94" s="7" t="n">
        <v>7898</v>
      </c>
      <c r="H94" s="7" t="n">
        <v>17986</v>
      </c>
      <c r="I94" s="7" t="n">
        <v>77</v>
      </c>
      <c r="J94" s="7" t="n">
        <v>1518</v>
      </c>
      <c r="K94" s="8">
        <f>IFERROR(G94/H94,"")</f>
        <v/>
      </c>
      <c r="L94" s="13">
        <f>IFERROR(J94/H94,"")</f>
        <v/>
      </c>
      <c r="M94" s="7" t="n">
        <v>77</v>
      </c>
      <c r="N94" s="19" t="n">
        <v>36.7</v>
      </c>
      <c r="O94" s="19" t="n">
        <v>162</v>
      </c>
      <c r="P94" s="7" t="n">
        <v>4</v>
      </c>
      <c r="Q94" s="5" t="inlineStr">
        <is>
          <t>2025-04-21</t>
        </is>
      </c>
      <c r="R94" s="5" t="inlineStr">
        <is>
          <t>2025-05-18</t>
        </is>
      </c>
      <c r="S94" s="5" t="inlineStr">
        <is>
          <t>애니메이션</t>
        </is>
      </c>
      <c r="T94" s="5" t="inlineStr">
        <is>
          <t>일본</t>
        </is>
      </c>
      <c r="U94" s="5" t="inlineStr">
        <is>
          <t>(주)애니플러스</t>
        </is>
      </c>
    </row>
    <row r="95">
      <c r="A95" s="5" t="inlineStr">
        <is>
          <t>뱀파이어 헌터 D</t>
        </is>
      </c>
      <c r="B95" s="5" t="inlineStr">
        <is>
          <t>2025-11-12</t>
        </is>
      </c>
      <c r="C95" s="5" t="inlineStr">
        <is>
          <t>2025-11-12</t>
        </is>
      </c>
      <c r="D95" s="5" t="inlineStr">
        <is>
          <t>신작</t>
        </is>
      </c>
      <c r="E95" s="5" t="inlineStr">
        <is>
          <t>애니메이션</t>
        </is>
      </c>
      <c r="F95" s="5" t="inlineStr">
        <is>
          <t>종영</t>
        </is>
      </c>
      <c r="G95" s="7" t="n">
        <v>7168</v>
      </c>
      <c r="H95" s="7" t="n">
        <v>9160</v>
      </c>
      <c r="I95" s="7" t="n">
        <v>54</v>
      </c>
      <c r="J95" s="7" t="n">
        <v>694</v>
      </c>
      <c r="K95" s="8">
        <f>IFERROR(G95/H95,"")</f>
        <v/>
      </c>
      <c r="L95" s="13">
        <f>IFERROR(J95/H95,"")</f>
        <v/>
      </c>
      <c r="M95" s="7" t="n">
        <v>54</v>
      </c>
      <c r="N95" s="19" t="n">
        <v>21.2</v>
      </c>
      <c r="O95" s="19" t="n">
        <v>138</v>
      </c>
      <c r="P95" s="7" t="n">
        <v>7</v>
      </c>
      <c r="Q95" s="5" t="inlineStr">
        <is>
          <t>2025-11-03</t>
        </is>
      </c>
      <c r="R95" s="5" t="inlineStr">
        <is>
          <t>2025-12-21</t>
        </is>
      </c>
      <c r="S95" s="5" t="inlineStr">
        <is>
          <t>애니메이션</t>
        </is>
      </c>
      <c r="T95" s="5" t="inlineStr">
        <is>
          <t>일본</t>
        </is>
      </c>
      <c r="U95" s="5" t="inlineStr">
        <is>
          <t>(주)엠디에스스피어</t>
        </is>
      </c>
    </row>
    <row r="96">
      <c r="A96" s="5" t="inlineStr">
        <is>
          <t>극장판 : 기븐_히이라기 믹스</t>
        </is>
      </c>
      <c r="B96" s="5" t="inlineStr">
        <is>
          <t>2024-08-28</t>
        </is>
      </c>
      <c r="C96" s="5" t="inlineStr">
        <is>
          <t>2024-08-28</t>
        </is>
      </c>
      <c r="D96" s="5" t="inlineStr">
        <is>
          <t>신작</t>
        </is>
      </c>
      <c r="E96" s="5" t="inlineStr">
        <is>
          <t>애니메이션</t>
        </is>
      </c>
      <c r="F96" s="5" t="inlineStr">
        <is>
          <t>종영</t>
        </is>
      </c>
      <c r="G96" s="7" t="n">
        <v>6593</v>
      </c>
      <c r="H96" s="7" t="n">
        <v>20436</v>
      </c>
      <c r="I96" s="7" t="n">
        <v>108</v>
      </c>
      <c r="J96" s="7" t="n">
        <v>1245</v>
      </c>
      <c r="K96" s="8">
        <f>IFERROR(G96/H96,"")</f>
        <v/>
      </c>
      <c r="L96" s="13">
        <f>IFERROR(J96/H96,"")</f>
        <v/>
      </c>
      <c r="M96" s="7" t="n">
        <v>104</v>
      </c>
      <c r="N96" s="19" t="n">
        <v>16</v>
      </c>
      <c r="O96" s="19" t="n">
        <v>149</v>
      </c>
      <c r="P96" s="7" t="n">
        <v>12</v>
      </c>
      <c r="Q96" s="5" t="inlineStr">
        <is>
          <t>2024-08-26</t>
        </is>
      </c>
      <c r="R96" s="5" t="inlineStr">
        <is>
          <t>2024-11-17</t>
        </is>
      </c>
      <c r="S96" s="5" t="inlineStr">
        <is>
          <t>애니메이션</t>
        </is>
      </c>
      <c r="T96" s="5" t="inlineStr">
        <is>
          <t>일본</t>
        </is>
      </c>
      <c r="U96" s="5" t="inlineStr">
        <is>
          <t>(주)팝엔터테인먼트</t>
        </is>
      </c>
    </row>
    <row r="97">
      <c r="A97" s="5" t="inlineStr">
        <is>
          <t>극장판 프리큐어 올스타즈 F</t>
        </is>
      </c>
      <c r="B97" s="5" t="inlineStr">
        <is>
          <t>2024-07-31</t>
        </is>
      </c>
      <c r="C97" s="5" t="inlineStr">
        <is>
          <t>2024-07-31</t>
        </is>
      </c>
      <c r="D97" s="5" t="inlineStr">
        <is>
          <t>신작</t>
        </is>
      </c>
      <c r="E97" s="5" t="inlineStr">
        <is>
          <t>애니메이션</t>
        </is>
      </c>
      <c r="F97" s="5" t="inlineStr">
        <is>
          <t>종영</t>
        </is>
      </c>
      <c r="G97" s="7" t="n">
        <v>6007</v>
      </c>
      <c r="H97" s="7" t="n">
        <v>17526</v>
      </c>
      <c r="I97" s="7" t="n">
        <v>104</v>
      </c>
      <c r="J97" s="7" t="n">
        <v>1013</v>
      </c>
      <c r="K97" s="8">
        <f>IFERROR(G97/H97,"")</f>
        <v/>
      </c>
      <c r="L97" s="13">
        <f>IFERROR(J97/H97,"")</f>
        <v/>
      </c>
      <c r="M97" s="7" t="n">
        <v>103</v>
      </c>
      <c r="N97" s="19" t="n">
        <v>21.2</v>
      </c>
      <c r="O97" s="19" t="n">
        <v>145</v>
      </c>
      <c r="P97" s="7" t="n">
        <v>8</v>
      </c>
      <c r="Q97" s="5" t="inlineStr">
        <is>
          <t>2024-07-22</t>
        </is>
      </c>
      <c r="R97" s="5" t="inlineStr">
        <is>
          <t>2024-09-15</t>
        </is>
      </c>
      <c r="S97" s="5" t="inlineStr">
        <is>
          <t>애니메이션</t>
        </is>
      </c>
      <c r="T97" s="5" t="inlineStr">
        <is>
          <t>일본</t>
        </is>
      </c>
      <c r="U97" s="5" t="inlineStr">
        <is>
          <t>(주)디스테이션</t>
        </is>
      </c>
    </row>
    <row r="98">
      <c r="A98" s="5" t="inlineStr">
        <is>
          <t>기빗올: 우리들의 썸머</t>
        </is>
      </c>
      <c r="B98" s="5" t="inlineStr">
        <is>
          <t>2025-06-18</t>
        </is>
      </c>
      <c r="C98" s="5" t="inlineStr">
        <is>
          <t>2025-06-18</t>
        </is>
      </c>
      <c r="D98" s="5" t="inlineStr">
        <is>
          <t>신작</t>
        </is>
      </c>
      <c r="E98" s="5" t="inlineStr">
        <is>
          <t>애니메이션</t>
        </is>
      </c>
      <c r="F98" s="5" t="inlineStr">
        <is>
          <t>종영</t>
        </is>
      </c>
      <c r="G98" s="7" t="n">
        <v>5190</v>
      </c>
      <c r="H98" s="7" t="n">
        <v>23212</v>
      </c>
      <c r="I98" s="7" t="n">
        <v>107</v>
      </c>
      <c r="J98" s="7" t="n">
        <v>1152</v>
      </c>
      <c r="K98" s="8">
        <f>IFERROR(G98/H98,"")</f>
        <v/>
      </c>
      <c r="L98" s="13">
        <f>IFERROR(J98/H98,"")</f>
        <v/>
      </c>
      <c r="M98" s="7" t="n">
        <v>105</v>
      </c>
      <c r="N98" s="19" t="n">
        <v>38.9</v>
      </c>
      <c r="O98" s="19" t="n">
        <v>148</v>
      </c>
      <c r="P98" s="7" t="n">
        <v>5</v>
      </c>
      <c r="Q98" s="5" t="inlineStr">
        <is>
          <t>2025-06-09</t>
        </is>
      </c>
      <c r="R98" s="5" t="inlineStr">
        <is>
          <t>2025-07-13</t>
        </is>
      </c>
      <c r="S98" s="5" t="inlineStr">
        <is>
          <t>애니메이션</t>
        </is>
      </c>
      <c r="T98" s="5" t="inlineStr">
        <is>
          <t>일본</t>
        </is>
      </c>
      <c r="U98" s="5" t="inlineStr">
        <is>
          <t>찬란</t>
        </is>
      </c>
    </row>
    <row r="99">
      <c r="A99" s="5" t="inlineStr">
        <is>
          <t>극장판 울려라! 유포니엄: 앙상블 콘테스트</t>
        </is>
      </c>
      <c r="B99" s="5" t="inlineStr">
        <is>
          <t>2024-04-17</t>
        </is>
      </c>
      <c r="C99" s="5" t="inlineStr">
        <is>
          <t>2024-04-17</t>
        </is>
      </c>
      <c r="D99" s="5" t="inlineStr">
        <is>
          <t>신작</t>
        </is>
      </c>
      <c r="E99" s="5" t="inlineStr">
        <is>
          <t>애니메이션</t>
        </is>
      </c>
      <c r="F99" s="5" t="inlineStr">
        <is>
          <t>종영</t>
        </is>
      </c>
      <c r="G99" s="7" t="n">
        <v>4843</v>
      </c>
      <c r="H99" s="7" t="n">
        <v>17157</v>
      </c>
      <c r="I99" s="7" t="n">
        <v>99</v>
      </c>
      <c r="J99" s="7" t="n">
        <v>466</v>
      </c>
      <c r="K99" s="8">
        <f>IFERROR(G99/H99,"")</f>
        <v/>
      </c>
      <c r="L99" s="13">
        <f>IFERROR(J99/H99,"")</f>
        <v/>
      </c>
      <c r="M99" s="7" t="n">
        <v>98</v>
      </c>
      <c r="N99" s="19" t="n">
        <v>22.9</v>
      </c>
      <c r="O99" s="19" t="n">
        <v>142</v>
      </c>
      <c r="P99" s="7" t="n">
        <v>7</v>
      </c>
      <c r="Q99" s="5" t="inlineStr">
        <is>
          <t>2024-04-15</t>
        </is>
      </c>
      <c r="R99" s="5" t="inlineStr">
        <is>
          <t>2024-06-02</t>
        </is>
      </c>
      <c r="S99" s="5" t="inlineStr">
        <is>
          <t>애니메이션</t>
        </is>
      </c>
      <c r="T99" s="5" t="inlineStr">
        <is>
          <t>일본</t>
        </is>
      </c>
      <c r="U99" s="5" t="inlineStr">
        <is>
          <t>(주)스튜디오디에이치엘</t>
        </is>
      </c>
    </row>
    <row r="100">
      <c r="A100" s="20" t="inlineStr">
        <is>
          <t>극장판 기븐 – 바다로</t>
        </is>
      </c>
      <c r="B100" s="20" t="inlineStr">
        <is>
          <t>2026-08-26</t>
        </is>
      </c>
      <c r="C100" s="20" t="inlineStr">
        <is>
          <t>2026-08-26</t>
        </is>
      </c>
      <c r="D100" s="20" t="inlineStr">
        <is>
          <t>신작</t>
        </is>
      </c>
      <c r="E100" s="20" t="inlineStr">
        <is>
          <t>애니메이션</t>
        </is>
      </c>
      <c r="F100" s="20" t="inlineStr">
        <is>
          <t>상영중(잠정)</t>
        </is>
      </c>
      <c r="G100" s="21" t="n">
        <v>1645</v>
      </c>
      <c r="H100" s="21" t="n">
        <v>15251</v>
      </c>
      <c r="I100" s="21" t="n">
        <v>110</v>
      </c>
      <c r="J100" s="21" t="n">
        <v>1645</v>
      </c>
      <c r="K100" s="22">
        <f>IFERROR(G100/H100,"")</f>
        <v/>
      </c>
      <c r="L100" s="23">
        <f>IFERROR(J100/H100,"")</f>
        <v/>
      </c>
      <c r="M100" s="21" t="n">
        <v>110</v>
      </c>
      <c r="N100" s="24" t="n">
        <v>110</v>
      </c>
      <c r="O100" s="24" t="n">
        <v>139</v>
      </c>
      <c r="P100" s="21" t="n">
        <v>1</v>
      </c>
      <c r="Q100" s="20" t="inlineStr">
        <is>
          <t>2026-08-24</t>
        </is>
      </c>
      <c r="R100" s="20" t="inlineStr">
        <is>
          <t>2026-08-30</t>
        </is>
      </c>
      <c r="S100" s="20" t="inlineStr">
        <is>
          <t>애니메이션</t>
        </is>
      </c>
      <c r="T100" s="20" t="inlineStr">
        <is>
          <t>일본</t>
        </is>
      </c>
      <c r="U100" s="20" t="inlineStr">
        <is>
          <t>(주)미디어캐슬</t>
        </is>
      </c>
    </row>
    <row r="101">
      <c r="A101" s="5" t="inlineStr">
        <is>
          <t>극장판 나와 로보코</t>
        </is>
      </c>
      <c r="B101" s="5" t="inlineStr">
        <is>
          <t>2025-11-26</t>
        </is>
      </c>
      <c r="C101" s="5" t="inlineStr">
        <is>
          <t>2025-11-26</t>
        </is>
      </c>
      <c r="D101" s="5" t="inlineStr">
        <is>
          <t>신작</t>
        </is>
      </c>
      <c r="E101" s="5" t="inlineStr">
        <is>
          <t>애니메이션</t>
        </is>
      </c>
      <c r="F101" s="5" t="inlineStr">
        <is>
          <t>종영</t>
        </is>
      </c>
      <c r="G101" s="7" t="n">
        <v>933</v>
      </c>
      <c r="H101" s="7" t="n">
        <v>10564</v>
      </c>
      <c r="I101" s="7" t="n">
        <v>74</v>
      </c>
      <c r="J101" s="7" t="n">
        <v>181</v>
      </c>
      <c r="K101" s="8">
        <f>IFERROR(G101/H101,"")</f>
        <v/>
      </c>
      <c r="L101" s="13">
        <f>IFERROR(J101/H101,"")</f>
        <v/>
      </c>
      <c r="M101" s="7" t="n">
        <v>74</v>
      </c>
      <c r="N101" s="19" t="n">
        <v>26</v>
      </c>
      <c r="O101" s="19" t="n">
        <v>122</v>
      </c>
      <c r="P101" s="7" t="n">
        <v>3</v>
      </c>
      <c r="Q101" s="5" t="inlineStr">
        <is>
          <t>2025-11-24</t>
        </is>
      </c>
      <c r="R101" s="5" t="inlineStr">
        <is>
          <t>2025-12-14</t>
        </is>
      </c>
      <c r="S101" s="5" t="inlineStr">
        <is>
          <t>애니메이션</t>
        </is>
      </c>
      <c r="T101" s="5" t="inlineStr">
        <is>
          <t>일본</t>
        </is>
      </c>
      <c r="U101" s="5" t="inlineStr">
        <is>
          <t>에스엠지홀딩스 주식회사</t>
        </is>
      </c>
    </row>
  </sheetData>
  <autoFilter ref="A2:U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0" customWidth="1" min="5" max="5"/>
    <col width="12" customWidth="1" min="6" max="6"/>
    <col width="11" customWidth="1" min="7" max="7"/>
    <col width="12" customWidth="1" min="8" max="8"/>
    <col width="12" customWidth="1" min="9" max="9"/>
    <col width="11" customWidth="1" min="10" max="10"/>
    <col width="12" customWidth="1" min="11" max="11"/>
    <col width="12" customWidth="1" min="12" max="12"/>
    <col width="13" customWidth="1" min="13" max="13"/>
    <col width="10" customWidth="1" min="14" max="14"/>
    <col width="11" customWidth="1" min="15" max="15"/>
    <col width="9" customWidth="1" min="16" max="16"/>
    <col width="12" customWidth="1" min="17" max="17"/>
    <col width="12" customWidth="1" min="18" max="18"/>
    <col width="24" customWidth="1" min="19" max="19"/>
    <col width="9" customWidth="1" min="20" max="20"/>
    <col width="26" customWidth="1" min="21" max="21"/>
  </cols>
  <sheetData>
    <row r="1">
      <c r="A1" s="17" t="inlineStr">
        <is>
          <t>※ 개봉일 = 재개봉일 실측(런 내 스크린이 피크 30% 도달 첫날). 원개봉일은 별도 컬럼.</t>
        </is>
      </c>
    </row>
    <row r="2">
      <c r="A2" s="18" t="inlineStr">
        <is>
          <t>영화명</t>
        </is>
      </c>
      <c r="B2" s="18" t="inlineStr">
        <is>
          <t>개봉일</t>
        </is>
      </c>
      <c r="C2" s="18" t="inlineStr">
        <is>
          <t>원개봉일</t>
        </is>
      </c>
      <c r="D2" s="18" t="inlineStr">
        <is>
          <t>구분</t>
        </is>
      </c>
      <c r="E2" s="18" t="inlineStr">
        <is>
          <t>세그먼트</t>
        </is>
      </c>
      <c r="F2" s="18" t="inlineStr">
        <is>
          <t>상영상태</t>
        </is>
      </c>
      <c r="G2" s="18" t="inlineStr">
        <is>
          <t>누적관객</t>
        </is>
      </c>
      <c r="H2" s="18" t="inlineStr">
        <is>
          <t>개봉일좌석수</t>
        </is>
      </c>
      <c r="I2" s="18" t="inlineStr">
        <is>
          <t>개봉일스크린수</t>
        </is>
      </c>
      <c r="J2" s="18" t="inlineStr">
        <is>
          <t>개봉일관객수</t>
        </is>
      </c>
      <c r="K2" s="18" t="inlineStr">
        <is>
          <t>배수(누적÷개봉일좌석)</t>
        </is>
      </c>
      <c r="L2" s="18" t="inlineStr">
        <is>
          <t>개봉일 좌석판매율</t>
        </is>
      </c>
      <c r="M2" s="18" t="inlineStr">
        <is>
          <t>메가최대일간스크린</t>
        </is>
      </c>
      <c r="N2" s="18" t="inlineStr">
        <is>
          <t>평균스크린</t>
        </is>
      </c>
      <c r="O2" s="18" t="inlineStr">
        <is>
          <t>스크린당좌석</t>
        </is>
      </c>
      <c r="P2" s="18" t="inlineStr">
        <is>
          <t>상영주수</t>
        </is>
      </c>
      <c r="Q2" s="18" t="inlineStr">
        <is>
          <t>단독런시작</t>
        </is>
      </c>
      <c r="R2" s="18" t="inlineStr">
        <is>
          <t>단독런종료</t>
        </is>
      </c>
      <c r="S2" s="18" t="inlineStr">
        <is>
          <t>장르</t>
        </is>
      </c>
      <c r="T2" s="18" t="inlineStr">
        <is>
          <t>대표국적</t>
        </is>
      </c>
      <c r="U2" s="18" t="inlineStr">
        <is>
          <t>배급사</t>
        </is>
      </c>
    </row>
    <row r="3">
      <c r="A3" s="5" t="inlineStr">
        <is>
          <t>러브레터</t>
        </is>
      </c>
      <c r="B3" s="5" t="inlineStr">
        <is>
          <t>2025-01-01</t>
        </is>
      </c>
      <c r="C3" s="5" t="inlineStr">
        <is>
          <t>1999-11-20</t>
        </is>
      </c>
      <c r="D3" s="5" t="inlineStr">
        <is>
          <t>재개봉/구작</t>
        </is>
      </c>
      <c r="E3" s="5" t="inlineStr">
        <is>
          <t>실사 외화</t>
        </is>
      </c>
      <c r="F3" s="5" t="inlineStr">
        <is>
          <t>종영</t>
        </is>
      </c>
      <c r="G3" s="7" t="n">
        <v>116561</v>
      </c>
      <c r="H3" s="7" t="n">
        <v>35619</v>
      </c>
      <c r="I3" s="7" t="n">
        <v>181</v>
      </c>
      <c r="J3" s="7" t="n">
        <v>14957</v>
      </c>
      <c r="K3" s="8">
        <f>IFERROR(G3/H3,"")</f>
        <v/>
      </c>
      <c r="L3" s="13">
        <f>IFERROR(J3/H3,"")</f>
        <v/>
      </c>
      <c r="M3" s="7" t="n">
        <v>169</v>
      </c>
      <c r="N3" s="19" t="n">
        <v>70.40000000000001</v>
      </c>
      <c r="O3" s="19" t="n">
        <v>188</v>
      </c>
      <c r="P3" s="7" t="n">
        <v>13</v>
      </c>
      <c r="Q3" s="5" t="inlineStr">
        <is>
          <t>2024-12-23</t>
        </is>
      </c>
      <c r="R3" s="5" t="inlineStr">
        <is>
          <t>2025-03-23</t>
        </is>
      </c>
      <c r="S3" s="5" t="inlineStr">
        <is>
          <t>멜로/로맨스,드라마</t>
        </is>
      </c>
      <c r="T3" s="5" t="inlineStr">
        <is>
          <t>일본</t>
        </is>
      </c>
      <c r="U3" s="5" t="inlineStr">
        <is>
          <t>워터홀컴퍼니(주),주식회사 왓챠,와이드 릴리즈(주),(주)제이앤씨미디어그룹,(유)조이앤시네마,(주)팝엔터테인먼트</t>
        </is>
      </c>
    </row>
    <row r="4">
      <c r="A4" s="5" t="inlineStr">
        <is>
          <t>쇼생크 탈출</t>
        </is>
      </c>
      <c r="B4" s="5" t="inlineStr">
        <is>
          <t>2024-05-08</t>
        </is>
      </c>
      <c r="C4" s="5" t="inlineStr">
        <is>
          <t>1995-02-04</t>
        </is>
      </c>
      <c r="D4" s="5" t="inlineStr">
        <is>
          <t>재개봉/구작</t>
        </is>
      </c>
      <c r="E4" s="5" t="inlineStr">
        <is>
          <t>실사 외화</t>
        </is>
      </c>
      <c r="F4" s="5" t="inlineStr">
        <is>
          <t>종영</t>
        </is>
      </c>
      <c r="G4" s="7" t="n">
        <v>46108</v>
      </c>
      <c r="H4" s="7" t="n">
        <v>36526</v>
      </c>
      <c r="I4" s="7" t="n">
        <v>123</v>
      </c>
      <c r="J4" s="7" t="n">
        <v>5972</v>
      </c>
      <c r="K4" s="8">
        <f>IFERROR(G4/H4,"")</f>
        <v/>
      </c>
      <c r="L4" s="13">
        <f>IFERROR(J4/H4,"")</f>
        <v/>
      </c>
      <c r="M4" s="7" t="n">
        <v>107</v>
      </c>
      <c r="N4" s="19" t="n">
        <v>36.3</v>
      </c>
      <c r="O4" s="19" t="n">
        <v>206</v>
      </c>
      <c r="P4" s="7" t="n">
        <v>11</v>
      </c>
      <c r="Q4" s="5" t="inlineStr">
        <is>
          <t>2024-04-29</t>
        </is>
      </c>
      <c r="R4" s="5" t="inlineStr">
        <is>
          <t>2024-07-14</t>
        </is>
      </c>
      <c r="S4" s="5" t="inlineStr">
        <is>
          <t>드라마</t>
        </is>
      </c>
      <c r="T4" s="5" t="inlineStr">
        <is>
          <t>미국</t>
        </is>
      </c>
      <c r="U4" s="5" t="inlineStr">
        <is>
          <t>롯데컬처웍스(주)롯데시네마,(주)팝엔터테인먼트,THE 픽쳐스</t>
        </is>
      </c>
    </row>
    <row r="5">
      <c r="A5" s="5" t="inlineStr">
        <is>
          <t>라이언 일병 구하기</t>
        </is>
      </c>
      <c r="B5" s="5" t="inlineStr">
        <is>
          <t>2025-06-25</t>
        </is>
      </c>
      <c r="C5" s="5" t="inlineStr">
        <is>
          <t>1998-09-12</t>
        </is>
      </c>
      <c r="D5" s="5" t="inlineStr">
        <is>
          <t>재개봉/구작</t>
        </is>
      </c>
      <c r="E5" s="5" t="inlineStr">
        <is>
          <t>실사 외화</t>
        </is>
      </c>
      <c r="F5" s="5" t="inlineStr">
        <is>
          <t>종영</t>
        </is>
      </c>
      <c r="G5" s="7" t="n">
        <v>31942</v>
      </c>
      <c r="H5" s="7" t="n">
        <v>38304</v>
      </c>
      <c r="I5" s="7" t="n">
        <v>163</v>
      </c>
      <c r="J5" s="7" t="n">
        <v>3958</v>
      </c>
      <c r="K5" s="8">
        <f>IFERROR(G5/H5,"")</f>
        <v/>
      </c>
      <c r="L5" s="13">
        <f>IFERROR(J5/H5,"")</f>
        <v/>
      </c>
      <c r="M5" s="7" t="n">
        <v>160</v>
      </c>
      <c r="N5" s="19" t="n">
        <v>42.7</v>
      </c>
      <c r="O5" s="19" t="n">
        <v>164</v>
      </c>
      <c r="P5" s="7" t="n">
        <v>10</v>
      </c>
      <c r="Q5" s="5" t="inlineStr">
        <is>
          <t>2025-06-16</t>
        </is>
      </c>
      <c r="R5" s="5" t="inlineStr">
        <is>
          <t>2025-08-24</t>
        </is>
      </c>
      <c r="S5" s="5" t="inlineStr">
        <is>
          <t>드라마,액션,전쟁</t>
        </is>
      </c>
      <c r="T5" s="5" t="inlineStr">
        <is>
          <t>미국</t>
        </is>
      </c>
      <c r="U5" s="5" t="inlineStr">
        <is>
          <t>와이드 릴리즈(주)</t>
        </is>
      </c>
    </row>
    <row r="6">
      <c r="A6" s="5" t="inlineStr">
        <is>
          <t>퍼펙트 블루</t>
        </is>
      </c>
      <c r="B6" s="5" t="inlineStr">
        <is>
          <t>2025-09-11</t>
        </is>
      </c>
      <c r="C6" s="5" t="inlineStr">
        <is>
          <t>2004-05-26</t>
        </is>
      </c>
      <c r="D6" s="5" t="inlineStr">
        <is>
          <t>재개봉/구작</t>
        </is>
      </c>
      <c r="E6" s="5" t="inlineStr">
        <is>
          <t>애니메이션</t>
        </is>
      </c>
      <c r="F6" s="5" t="inlineStr">
        <is>
          <t>종영</t>
        </is>
      </c>
      <c r="G6" s="7" t="n">
        <v>28948</v>
      </c>
      <c r="H6" s="7" t="n">
        <v>29900</v>
      </c>
      <c r="I6" s="7" t="n">
        <v>138</v>
      </c>
      <c r="J6" s="7" t="n">
        <v>4319</v>
      </c>
      <c r="K6" s="8">
        <f>IFERROR(G6/H6,"")</f>
        <v/>
      </c>
      <c r="L6" s="13">
        <f>IFERROR(J6/H6,"")</f>
        <v/>
      </c>
      <c r="M6" s="7" t="n">
        <v>135</v>
      </c>
      <c r="N6" s="19" t="n">
        <v>45.3</v>
      </c>
      <c r="O6" s="19" t="n">
        <v>171</v>
      </c>
      <c r="P6" s="7" t="n">
        <v>7</v>
      </c>
      <c r="Q6" s="5" t="inlineStr">
        <is>
          <t>2025-09-08</t>
        </is>
      </c>
      <c r="R6" s="5" t="inlineStr">
        <is>
          <t>2025-10-26</t>
        </is>
      </c>
      <c r="S6" s="5" t="inlineStr">
        <is>
          <t>애니메이션,미스터리</t>
        </is>
      </c>
      <c r="T6" s="5" t="inlineStr">
        <is>
          <t>일본</t>
        </is>
      </c>
      <c r="U6" s="5" t="inlineStr">
        <is>
          <t>(주)디스테이션,(주)튜브엔터테인먼트</t>
        </is>
      </c>
    </row>
    <row r="7">
      <c r="A7" s="5" t="inlineStr">
        <is>
          <t>미드나잇 인 파리</t>
        </is>
      </c>
      <c r="B7" s="5" t="inlineStr">
        <is>
          <t>2025-02-12</t>
        </is>
      </c>
      <c r="C7" s="5" t="inlineStr">
        <is>
          <t>2012-07-05</t>
        </is>
      </c>
      <c r="D7" s="5" t="inlineStr">
        <is>
          <t>재개봉/구작</t>
        </is>
      </c>
      <c r="E7" s="5" t="inlineStr">
        <is>
          <t>실사 외화</t>
        </is>
      </c>
      <c r="F7" s="5" t="inlineStr">
        <is>
          <t>종영</t>
        </is>
      </c>
      <c r="G7" s="7" t="n">
        <v>23454</v>
      </c>
      <c r="H7" s="7" t="n">
        <v>34355</v>
      </c>
      <c r="I7" s="7" t="n">
        <v>136</v>
      </c>
      <c r="J7" s="7" t="n">
        <v>2779</v>
      </c>
      <c r="K7" s="8">
        <f>IFERROR(G7/H7,"")</f>
        <v/>
      </c>
      <c r="L7" s="13">
        <f>IFERROR(J7/H7,"")</f>
        <v/>
      </c>
      <c r="M7" s="7" t="n">
        <v>141</v>
      </c>
      <c r="N7" s="19" t="n">
        <v>58.7</v>
      </c>
      <c r="O7" s="19" t="n">
        <v>174</v>
      </c>
      <c r="P7" s="7" t="n">
        <v>8</v>
      </c>
      <c r="Q7" s="5" t="inlineStr">
        <is>
          <t>2025-02-03</t>
        </is>
      </c>
      <c r="R7" s="5" t="inlineStr">
        <is>
          <t>2025-03-30</t>
        </is>
      </c>
      <c r="S7" s="5" t="inlineStr">
        <is>
          <t>코미디,멜로/로맨스,판타지</t>
        </is>
      </c>
      <c r="T7" s="5" t="inlineStr">
        <is>
          <t>미국</t>
        </is>
      </c>
      <c r="U7" s="5" t="inlineStr">
        <is>
          <t>(주)디스테이션,(주)드림팩트엔터테인먼트,(주)나이너스엔터테인먼트</t>
        </is>
      </c>
    </row>
    <row r="8">
      <c r="A8" s="5" t="inlineStr">
        <is>
          <t>컨택트</t>
        </is>
      </c>
      <c r="B8" s="5" t="inlineStr">
        <is>
          <t>2024-11-13</t>
        </is>
      </c>
      <c r="C8" s="5" t="inlineStr">
        <is>
          <t>2017-02-02</t>
        </is>
      </c>
      <c r="D8" s="5" t="inlineStr">
        <is>
          <t>재개봉/구작</t>
        </is>
      </c>
      <c r="E8" s="5" t="inlineStr">
        <is>
          <t>실사 외화</t>
        </is>
      </c>
      <c r="F8" s="5" t="inlineStr">
        <is>
          <t>종영</t>
        </is>
      </c>
      <c r="G8" s="7" t="n">
        <v>21575</v>
      </c>
      <c r="H8" s="7" t="n">
        <v>21161</v>
      </c>
      <c r="I8" s="7" t="n">
        <v>78</v>
      </c>
      <c r="J8" s="7" t="n">
        <v>4221</v>
      </c>
      <c r="K8" s="8">
        <f>IFERROR(G8/H8,"")</f>
        <v/>
      </c>
      <c r="L8" s="13">
        <f>IFERROR(J8/H8,"")</f>
        <v/>
      </c>
      <c r="M8" s="7" t="n">
        <v>90</v>
      </c>
      <c r="N8" s="19" t="n">
        <v>40.1</v>
      </c>
      <c r="O8" s="19" t="n">
        <v>181</v>
      </c>
      <c r="P8" s="7" t="n">
        <v>5</v>
      </c>
      <c r="Q8" s="5" t="inlineStr">
        <is>
          <t>2024-11-11</t>
        </is>
      </c>
      <c r="R8" s="5" t="inlineStr">
        <is>
          <t>2024-12-15</t>
        </is>
      </c>
      <c r="S8" s="5" t="inlineStr">
        <is>
          <t>SF,드라마,스릴러</t>
        </is>
      </c>
      <c r="T8" s="5" t="inlineStr">
        <is>
          <t>미국</t>
        </is>
      </c>
      <c r="U8" s="5" t="inlineStr">
        <is>
          <t>유니버설픽쳐스인터내셔널 코리아(유)</t>
        </is>
      </c>
    </row>
    <row r="9">
      <c r="A9" s="5" t="inlineStr">
        <is>
          <t>패왕별희 디 오리지널</t>
        </is>
      </c>
      <c r="B9" s="5" t="inlineStr">
        <is>
          <t>2024-03-27</t>
        </is>
      </c>
      <c r="C9" s="5" t="inlineStr">
        <is>
          <t>2017-03-30</t>
        </is>
      </c>
      <c r="D9" s="5" t="inlineStr">
        <is>
          <t>재개봉/구작</t>
        </is>
      </c>
      <c r="E9" s="5" t="inlineStr">
        <is>
          <t>실사 외화</t>
        </is>
      </c>
      <c r="F9" s="5" t="inlineStr">
        <is>
          <t>종영</t>
        </is>
      </c>
      <c r="G9" s="7" t="n">
        <v>20234</v>
      </c>
      <c r="H9" s="7" t="n">
        <v>18985</v>
      </c>
      <c r="I9" s="7" t="n">
        <v>103</v>
      </c>
      <c r="J9" s="7" t="n">
        <v>5922</v>
      </c>
      <c r="K9" s="8">
        <f>IFERROR(G9/H9,"")</f>
        <v/>
      </c>
      <c r="L9" s="13">
        <f>IFERROR(J9/H9,"")</f>
        <v/>
      </c>
      <c r="M9" s="7" t="n">
        <v>99</v>
      </c>
      <c r="N9" s="19" t="n">
        <v>34.8</v>
      </c>
      <c r="O9" s="19" t="n">
        <v>147</v>
      </c>
      <c r="P9" s="7" t="n">
        <v>6</v>
      </c>
      <c r="Q9" s="5" t="inlineStr">
        <is>
          <t>2024-03-25</t>
        </is>
      </c>
      <c r="R9" s="5" t="inlineStr">
        <is>
          <t>2024-05-05</t>
        </is>
      </c>
      <c r="S9" s="5" t="inlineStr">
        <is>
          <t>드라마,멜로/로맨스</t>
        </is>
      </c>
      <c r="T9" s="5" t="inlineStr">
        <is>
          <t>중국</t>
        </is>
      </c>
      <c r="U9" s="5" t="inlineStr">
        <is>
          <t>와이드 릴리즈(주),(주)제이앤씨미디어그룹,(주)드림팩트엔터테인먼트</t>
        </is>
      </c>
    </row>
    <row r="10">
      <c r="A10" s="5" t="inlineStr">
        <is>
          <t>마당을 나온 암탉</t>
        </is>
      </c>
      <c r="B10" s="5" t="inlineStr">
        <is>
          <t>2025-01-22</t>
        </is>
      </c>
      <c r="C10" s="5" t="inlineStr">
        <is>
          <t>2011-07-28</t>
        </is>
      </c>
      <c r="D10" s="5" t="inlineStr">
        <is>
          <t>재개봉/구작</t>
        </is>
      </c>
      <c r="E10" s="5" t="inlineStr">
        <is>
          <t>애니메이션</t>
        </is>
      </c>
      <c r="F10" s="5" t="inlineStr">
        <is>
          <t>종영</t>
        </is>
      </c>
      <c r="G10" s="7" t="n">
        <v>18008</v>
      </c>
      <c r="H10" s="7" t="n">
        <v>23255</v>
      </c>
      <c r="I10" s="7" t="n">
        <v>131</v>
      </c>
      <c r="J10" s="7" t="n">
        <v>954</v>
      </c>
      <c r="K10" s="8">
        <f>IFERROR(G10/H10,"")</f>
        <v/>
      </c>
      <c r="L10" s="13">
        <f>IFERROR(J10/H10,"")</f>
        <v/>
      </c>
      <c r="M10" s="7" t="n">
        <v>117</v>
      </c>
      <c r="N10" s="19" t="n">
        <v>41.1</v>
      </c>
      <c r="O10" s="19" t="n">
        <v>132</v>
      </c>
      <c r="P10" s="7" t="n">
        <v>10</v>
      </c>
      <c r="Q10" s="5" t="inlineStr">
        <is>
          <t>2025-01-06</t>
        </is>
      </c>
      <c r="R10" s="5" t="inlineStr">
        <is>
          <t>2025-03-16</t>
        </is>
      </c>
      <c r="S10" s="5" t="inlineStr">
        <is>
          <t>애니메이션</t>
        </is>
      </c>
      <c r="T10" s="5" t="inlineStr">
        <is>
          <t>한국</t>
        </is>
      </c>
      <c r="U10" s="5" t="inlineStr">
        <is>
          <t>메가박스중앙(주),롯데쇼핑㈜롯데엔터테인먼트</t>
        </is>
      </c>
    </row>
    <row r="11">
      <c r="A11" s="5" t="inlineStr">
        <is>
          <t>코코</t>
        </is>
      </c>
      <c r="B11" s="5" t="inlineStr">
        <is>
          <t>2024-05-30</t>
        </is>
      </c>
      <c r="C11" s="5" t="inlineStr">
        <is>
          <t>2018-01-11</t>
        </is>
      </c>
      <c r="D11" s="5" t="inlineStr">
        <is>
          <t>재개봉/구작</t>
        </is>
      </c>
      <c r="E11" s="5" t="inlineStr">
        <is>
          <t>애니메이션</t>
        </is>
      </c>
      <c r="F11" s="5" t="inlineStr">
        <is>
          <t>종영</t>
        </is>
      </c>
      <c r="G11" s="7" t="n">
        <v>16917</v>
      </c>
      <c r="H11" s="7" t="n">
        <v>36952</v>
      </c>
      <c r="I11" s="7" t="n">
        <v>104</v>
      </c>
      <c r="J11" s="7" t="n">
        <v>3998</v>
      </c>
      <c r="K11" s="8">
        <f>IFERROR(G11/H11,"")</f>
        <v/>
      </c>
      <c r="L11" s="13">
        <f>IFERROR(J11/H11,"")</f>
        <v/>
      </c>
      <c r="M11" s="7" t="n">
        <v>104</v>
      </c>
      <c r="N11" s="19" t="n">
        <v>88</v>
      </c>
      <c r="O11" s="19" t="n">
        <v>250</v>
      </c>
      <c r="P11" s="7" t="n">
        <v>3</v>
      </c>
      <c r="Q11" s="5" t="inlineStr">
        <is>
          <t>2024-05-27</t>
        </is>
      </c>
      <c r="R11" s="5" t="inlineStr">
        <is>
          <t>2024-06-16</t>
        </is>
      </c>
      <c r="S11" s="5" t="inlineStr">
        <is>
          <t>애니메이션</t>
        </is>
      </c>
      <c r="T11" s="5" t="inlineStr">
        <is>
          <t>미국</t>
        </is>
      </c>
      <c r="U11" s="5" t="inlineStr">
        <is>
          <t>월트디즈니컴퍼니코리아 유한책임회사</t>
        </is>
      </c>
    </row>
    <row r="12">
      <c r="A12" s="5" t="inlineStr">
        <is>
          <t>첫여름</t>
        </is>
      </c>
      <c r="B12" s="5" t="inlineStr">
        <is>
          <t>2025-08-06</t>
        </is>
      </c>
      <c r="C12" s="5" t="inlineStr"/>
      <c r="D12" s="5" t="inlineStr">
        <is>
          <t>재개봉/구작</t>
        </is>
      </c>
      <c r="E12" s="5" t="inlineStr">
        <is>
          <t>실사 한국</t>
        </is>
      </c>
      <c r="F12" s="5" t="inlineStr">
        <is>
          <t>종영</t>
        </is>
      </c>
      <c r="G12" s="7" t="n">
        <v>16906</v>
      </c>
      <c r="H12" s="7" t="n">
        <v>13702</v>
      </c>
      <c r="I12" s="7" t="n">
        <v>85</v>
      </c>
      <c r="J12" s="7" t="n">
        <v>1595</v>
      </c>
      <c r="K12" s="8">
        <f>IFERROR(G12/H12,"")</f>
        <v/>
      </c>
      <c r="L12" s="13">
        <f>IFERROR(J12/H12,"")</f>
        <v/>
      </c>
      <c r="M12" s="7" t="n">
        <v>85</v>
      </c>
      <c r="N12" s="19" t="n">
        <v>32.3</v>
      </c>
      <c r="O12" s="19" t="n">
        <v>132</v>
      </c>
      <c r="P12" s="7" t="n">
        <v>10</v>
      </c>
      <c r="Q12" s="5" t="inlineStr">
        <is>
          <t>2025-07-28</t>
        </is>
      </c>
      <c r="R12" s="5" t="inlineStr">
        <is>
          <t>2025-10-05</t>
        </is>
      </c>
      <c r="S12" s="5" t="inlineStr">
        <is>
          <t>드라마</t>
        </is>
      </c>
      <c r="T12" s="5" t="inlineStr">
        <is>
          <t>한국</t>
        </is>
      </c>
      <c r="U12" s="5" t="inlineStr">
        <is>
          <t>한국영화아카데미</t>
        </is>
      </c>
    </row>
    <row r="13">
      <c r="A13" s="5" t="inlineStr">
        <is>
          <t>가타카</t>
        </is>
      </c>
      <c r="B13" s="5" t="inlineStr">
        <is>
          <t>2025-11-20</t>
        </is>
      </c>
      <c r="C13" s="5" t="inlineStr">
        <is>
          <t>1998-05-02</t>
        </is>
      </c>
      <c r="D13" s="5" t="inlineStr">
        <is>
          <t>재개봉/구작</t>
        </is>
      </c>
      <c r="E13" s="5" t="inlineStr">
        <is>
          <t>실사 외화</t>
        </is>
      </c>
      <c r="F13" s="5" t="inlineStr">
        <is>
          <t>종영</t>
        </is>
      </c>
      <c r="G13" s="7" t="n">
        <v>16560</v>
      </c>
      <c r="H13" s="7" t="n">
        <v>15383</v>
      </c>
      <c r="I13" s="7" t="n">
        <v>71</v>
      </c>
      <c r="J13" s="7" t="n">
        <v>1388</v>
      </c>
      <c r="K13" s="8">
        <f>IFERROR(G13/H13,"")</f>
        <v/>
      </c>
      <c r="L13" s="13">
        <f>IFERROR(J13/H13,"")</f>
        <v/>
      </c>
      <c r="M13" s="7" t="n">
        <v>72</v>
      </c>
      <c r="N13" s="19" t="n">
        <v>26.7</v>
      </c>
      <c r="O13" s="19" t="n">
        <v>148</v>
      </c>
      <c r="P13" s="7" t="n">
        <v>7</v>
      </c>
      <c r="Q13" s="5" t="inlineStr">
        <is>
          <t>2025-11-17</t>
        </is>
      </c>
      <c r="R13" s="5" t="inlineStr">
        <is>
          <t>2026-01-04</t>
        </is>
      </c>
      <c r="S13" s="5" t="inlineStr">
        <is>
          <t>SF,드라마,미스터리,스릴러</t>
        </is>
      </c>
      <c r="T13" s="5" t="inlineStr">
        <is>
          <t>미국</t>
        </is>
      </c>
      <c r="U13" s="5" t="inlineStr"/>
    </row>
    <row r="14">
      <c r="A14" s="5" t="inlineStr">
        <is>
          <t>중경삼림</t>
        </is>
      </c>
      <c r="B14" s="5" t="inlineStr">
        <is>
          <t>2024-02-14</t>
        </is>
      </c>
      <c r="C14" s="5" t="inlineStr">
        <is>
          <t>1995-09-02</t>
        </is>
      </c>
      <c r="D14" s="5" t="inlineStr">
        <is>
          <t>재개봉/구작</t>
        </is>
      </c>
      <c r="E14" s="5" t="inlineStr">
        <is>
          <t>실사 외화</t>
        </is>
      </c>
      <c r="F14" s="5" t="inlineStr">
        <is>
          <t>종영</t>
        </is>
      </c>
      <c r="G14" s="7" t="n">
        <v>16102</v>
      </c>
      <c r="H14" s="7" t="n">
        <v>6776</v>
      </c>
      <c r="I14" s="7" t="n">
        <v>53</v>
      </c>
      <c r="J14" s="7" t="n">
        <v>1390</v>
      </c>
      <c r="K14" s="8">
        <f>IFERROR(G14/H14,"")</f>
        <v/>
      </c>
      <c r="L14" s="13">
        <f>IFERROR(J14/H14,"")</f>
        <v/>
      </c>
      <c r="M14" s="7" t="n">
        <v>53</v>
      </c>
      <c r="N14" s="19" t="n">
        <v>11.3</v>
      </c>
      <c r="O14" s="19" t="n">
        <v>111</v>
      </c>
      <c r="P14" s="7" t="n">
        <v>14</v>
      </c>
      <c r="Q14" s="5" t="inlineStr">
        <is>
          <t>2024-02-12</t>
        </is>
      </c>
      <c r="R14" s="5" t="inlineStr">
        <is>
          <t>2024-05-19</t>
        </is>
      </c>
      <c r="S14" s="5" t="inlineStr">
        <is>
          <t>드라마</t>
        </is>
      </c>
      <c r="T14" s="5" t="inlineStr">
        <is>
          <t>홍콩</t>
        </is>
      </c>
      <c r="U14" s="5" t="inlineStr">
        <is>
          <t>(주)디스테이션</t>
        </is>
      </c>
    </row>
    <row r="15">
      <c r="A15" s="5" t="inlineStr">
        <is>
          <t>해피 투게더</t>
        </is>
      </c>
      <c r="B15" s="5" t="inlineStr">
        <is>
          <t>2023-03-30</t>
        </is>
      </c>
      <c r="C15" s="5" t="inlineStr">
        <is>
          <t>1998-08-22</t>
        </is>
      </c>
      <c r="D15" s="5" t="inlineStr">
        <is>
          <t>재개봉/구작</t>
        </is>
      </c>
      <c r="E15" s="5" t="inlineStr">
        <is>
          <t>실사 외화</t>
        </is>
      </c>
      <c r="F15" s="5" t="inlineStr">
        <is>
          <t>종영</t>
        </is>
      </c>
      <c r="G15" s="7" t="n">
        <v>15835</v>
      </c>
      <c r="H15" s="7" t="n">
        <v>36350</v>
      </c>
      <c r="I15" s="7" t="n">
        <v>140</v>
      </c>
      <c r="J15" s="7" t="n">
        <v>7147</v>
      </c>
      <c r="K15" s="8">
        <f>IFERROR(G15/H15,"")</f>
        <v/>
      </c>
      <c r="L15" s="13">
        <f>IFERROR(J15/H15,"")</f>
        <v/>
      </c>
      <c r="M15" s="7" t="n">
        <v>129</v>
      </c>
      <c r="N15" s="19" t="n">
        <v>42.1</v>
      </c>
      <c r="O15" s="19" t="n">
        <v>186</v>
      </c>
      <c r="P15" s="7" t="n">
        <v>5</v>
      </c>
      <c r="Q15" s="5" t="inlineStr">
        <is>
          <t>2023-03-27</t>
        </is>
      </c>
      <c r="R15" s="5" t="inlineStr">
        <is>
          <t>2023-04-30</t>
        </is>
      </c>
      <c r="S15" s="5" t="inlineStr">
        <is>
          <t>드라마,멜로/로맨스</t>
        </is>
      </c>
      <c r="T15" s="5" t="inlineStr">
        <is>
          <t>홍콩</t>
        </is>
      </c>
      <c r="U15" s="5" t="inlineStr">
        <is>
          <t>(주)디스테이션</t>
        </is>
      </c>
    </row>
    <row r="16">
      <c r="A16" s="5" t="inlineStr">
        <is>
          <t>철도원</t>
        </is>
      </c>
      <c r="B16" s="5" t="inlineStr">
        <is>
          <t>2026-01-07</t>
        </is>
      </c>
      <c r="C16" s="5" t="inlineStr">
        <is>
          <t>2000-02-04</t>
        </is>
      </c>
      <c r="D16" s="5" t="inlineStr">
        <is>
          <t>재개봉/구작</t>
        </is>
      </c>
      <c r="E16" s="5" t="inlineStr">
        <is>
          <t>실사 외화</t>
        </is>
      </c>
      <c r="F16" s="5" t="inlineStr">
        <is>
          <t>종영</t>
        </is>
      </c>
      <c r="G16" s="7" t="n">
        <v>14997</v>
      </c>
      <c r="H16" s="7" t="n">
        <v>24542</v>
      </c>
      <c r="I16" s="7" t="n">
        <v>127</v>
      </c>
      <c r="J16" s="7" t="n">
        <v>1289</v>
      </c>
      <c r="K16" s="8">
        <f>IFERROR(G16/H16,"")</f>
        <v/>
      </c>
      <c r="L16" s="13">
        <f>IFERROR(J16/H16,"")</f>
        <v/>
      </c>
      <c r="M16" s="7" t="n">
        <v>123</v>
      </c>
      <c r="N16" s="19" t="n">
        <v>53.5</v>
      </c>
      <c r="O16" s="19" t="n">
        <v>147</v>
      </c>
      <c r="P16" s="7" t="n">
        <v>5</v>
      </c>
      <c r="Q16" s="5" t="inlineStr">
        <is>
          <t>2026-01-05</t>
        </is>
      </c>
      <c r="R16" s="5" t="inlineStr">
        <is>
          <t>2026-02-08</t>
        </is>
      </c>
      <c r="S16" s="5" t="inlineStr">
        <is>
          <t>가족,드라마</t>
        </is>
      </c>
      <c r="T16" s="5" t="inlineStr">
        <is>
          <t>일본</t>
        </is>
      </c>
      <c r="U16" s="5" t="inlineStr">
        <is>
          <t>와이드 릴리즈(주)</t>
        </is>
      </c>
    </row>
    <row r="17">
      <c r="A17" s="5" t="inlineStr">
        <is>
          <t>슈퍼소닉</t>
        </is>
      </c>
      <c r="B17" s="5" t="inlineStr">
        <is>
          <t>2025-08-29</t>
        </is>
      </c>
      <c r="C17" s="5" t="inlineStr">
        <is>
          <t>2016-11-24</t>
        </is>
      </c>
      <c r="D17" s="5" t="inlineStr">
        <is>
          <t>재개봉/구작</t>
        </is>
      </c>
      <c r="E17" s="5" t="inlineStr">
        <is>
          <t>실사 외화</t>
        </is>
      </c>
      <c r="F17" s="5" t="inlineStr">
        <is>
          <t>종영</t>
        </is>
      </c>
      <c r="G17" s="7" t="n">
        <v>14607</v>
      </c>
      <c r="H17" s="7" t="n">
        <v>25786</v>
      </c>
      <c r="I17" s="7" t="n">
        <v>124</v>
      </c>
      <c r="J17" s="7" t="n">
        <v>3774</v>
      </c>
      <c r="K17" s="8">
        <f>IFERROR(G17/H17,"")</f>
        <v/>
      </c>
      <c r="L17" s="13">
        <f>IFERROR(J17/H17,"")</f>
        <v/>
      </c>
      <c r="M17" s="7" t="n">
        <v>93</v>
      </c>
      <c r="N17" s="19" t="n">
        <v>39.8</v>
      </c>
      <c r="O17" s="19" t="n">
        <v>158</v>
      </c>
      <c r="P17" s="7" t="n">
        <v>6</v>
      </c>
      <c r="Q17" s="5" t="inlineStr">
        <is>
          <t>2025-08-18</t>
        </is>
      </c>
      <c r="R17" s="5" t="inlineStr">
        <is>
          <t>2025-09-28</t>
        </is>
      </c>
      <c r="S17" s="5" t="inlineStr">
        <is>
          <t>다큐멘터리</t>
        </is>
      </c>
      <c r="T17" s="5" t="inlineStr">
        <is>
          <t>영국</t>
        </is>
      </c>
      <c r="U17" s="5" t="inlineStr">
        <is>
          <t>(주)레드아이스 엔터테인먼트,주식회사 씨네룩스</t>
        </is>
      </c>
    </row>
    <row r="18">
      <c r="A18" s="5" t="inlineStr">
        <is>
          <t>크리스마스에 기적을 만날 확률</t>
        </is>
      </c>
      <c r="B18" s="5" t="inlineStr">
        <is>
          <t>2024-12-11</t>
        </is>
      </c>
      <c r="C18" s="5" t="inlineStr">
        <is>
          <t>2007-12-12</t>
        </is>
      </c>
      <c r="D18" s="5" t="inlineStr">
        <is>
          <t>재개봉/구작</t>
        </is>
      </c>
      <c r="E18" s="5" t="inlineStr">
        <is>
          <t>애니메이션</t>
        </is>
      </c>
      <c r="F18" s="5" t="inlineStr">
        <is>
          <t>종영</t>
        </is>
      </c>
      <c r="G18" s="7" t="n">
        <v>13312</v>
      </c>
      <c r="H18" s="7" t="n">
        <v>21229</v>
      </c>
      <c r="I18" s="7" t="n">
        <v>117</v>
      </c>
      <c r="J18" s="7" t="n">
        <v>1827</v>
      </c>
      <c r="K18" s="8">
        <f>IFERROR(G18/H18,"")</f>
        <v/>
      </c>
      <c r="L18" s="13">
        <f>IFERROR(J18/H18,"")</f>
        <v/>
      </c>
      <c r="M18" s="7" t="n">
        <v>110</v>
      </c>
      <c r="N18" s="19" t="n">
        <v>35.6</v>
      </c>
      <c r="O18" s="19" t="n">
        <v>139</v>
      </c>
      <c r="P18" s="7" t="n">
        <v>7</v>
      </c>
      <c r="Q18" s="5" t="inlineStr">
        <is>
          <t>2024-12-09</t>
        </is>
      </c>
      <c r="R18" s="5" t="inlineStr">
        <is>
          <t>2025-01-26</t>
        </is>
      </c>
      <c r="S18" s="5" t="inlineStr">
        <is>
          <t>애니메이션,드라마,액션</t>
        </is>
      </c>
      <c r="T18" s="5" t="inlineStr">
        <is>
          <t>일본</t>
        </is>
      </c>
      <c r="U18" s="5" t="inlineStr">
        <is>
          <t>(주)팝엔터테인먼트,롯데쇼핑㈜롯데엔터테인먼트</t>
        </is>
      </c>
    </row>
    <row r="19">
      <c r="A19" s="5" t="inlineStr">
        <is>
          <t>택시 드라이버</t>
        </is>
      </c>
      <c r="B19" s="5" t="inlineStr">
        <is>
          <t>2025-04-09</t>
        </is>
      </c>
      <c r="C19" s="5" t="inlineStr">
        <is>
          <t>1989-02-17</t>
        </is>
      </c>
      <c r="D19" s="5" t="inlineStr">
        <is>
          <t>재개봉/구작</t>
        </is>
      </c>
      <c r="E19" s="5" t="inlineStr">
        <is>
          <t>실사 외화</t>
        </is>
      </c>
      <c r="F19" s="5" t="inlineStr">
        <is>
          <t>종영</t>
        </is>
      </c>
      <c r="G19" s="7" t="n">
        <v>10856</v>
      </c>
      <c r="H19" s="7" t="n">
        <v>20556</v>
      </c>
      <c r="I19" s="7" t="n">
        <v>82</v>
      </c>
      <c r="J19" s="7" t="n">
        <v>2006</v>
      </c>
      <c r="K19" s="8">
        <f>IFERROR(G19/H19,"")</f>
        <v/>
      </c>
      <c r="L19" s="13">
        <f>IFERROR(J19/H19,"")</f>
        <v/>
      </c>
      <c r="M19" s="7" t="n">
        <v>83</v>
      </c>
      <c r="N19" s="19" t="n">
        <v>61.7</v>
      </c>
      <c r="O19" s="19" t="n">
        <v>164</v>
      </c>
      <c r="P19" s="7" t="n">
        <v>4</v>
      </c>
      <c r="Q19" s="5" t="inlineStr">
        <is>
          <t>2025-04-07</t>
        </is>
      </c>
      <c r="R19" s="5" t="inlineStr">
        <is>
          <t>2025-05-04</t>
        </is>
      </c>
      <c r="S19" s="5" t="inlineStr">
        <is>
          <t>드라마,스릴러</t>
        </is>
      </c>
      <c r="T19" s="5" t="inlineStr">
        <is>
          <t>미국</t>
        </is>
      </c>
      <c r="U19" s="5" t="inlineStr"/>
    </row>
    <row r="20">
      <c r="A20" s="5" t="inlineStr">
        <is>
          <t>레옹</t>
        </is>
      </c>
      <c r="B20" s="5" t="inlineStr">
        <is>
          <t>2024-04-22</t>
        </is>
      </c>
      <c r="C20" s="5" t="inlineStr">
        <is>
          <t>1995-02-18</t>
        </is>
      </c>
      <c r="D20" s="5" t="inlineStr">
        <is>
          <t>재개봉/구작</t>
        </is>
      </c>
      <c r="E20" s="5" t="inlineStr">
        <is>
          <t>실사 외화</t>
        </is>
      </c>
      <c r="F20" s="5" t="inlineStr">
        <is>
          <t>종영</t>
        </is>
      </c>
      <c r="G20" s="7" t="n">
        <v>10030</v>
      </c>
      <c r="H20" s="7" t="n">
        <v>18828</v>
      </c>
      <c r="I20" s="7" t="n">
        <v>94</v>
      </c>
      <c r="J20" s="7" t="n">
        <v>1129</v>
      </c>
      <c r="K20" s="8">
        <f>IFERROR(G20/H20,"")</f>
        <v/>
      </c>
      <c r="L20" s="13">
        <f>IFERROR(J20/H20,"")</f>
        <v/>
      </c>
      <c r="M20" s="7" t="n">
        <v>88</v>
      </c>
      <c r="N20" s="19" t="n">
        <v>20.9</v>
      </c>
      <c r="O20" s="19" t="n">
        <v>140</v>
      </c>
      <c r="P20" s="7" t="n">
        <v>5</v>
      </c>
      <c r="Q20" s="5" t="inlineStr">
        <is>
          <t>2024-04-22</t>
        </is>
      </c>
      <c r="R20" s="5" t="inlineStr">
        <is>
          <t>2024-05-26</t>
        </is>
      </c>
      <c r="S20" s="5" t="inlineStr">
        <is>
          <t>액션,범죄</t>
        </is>
      </c>
      <c r="T20" s="5" t="inlineStr">
        <is>
          <t>프랑스</t>
        </is>
      </c>
      <c r="U20" s="5" t="inlineStr">
        <is>
          <t>와이드 릴리즈(주),(주)제이앤씨미디어그룹,(주)팝파트너스</t>
        </is>
      </c>
    </row>
    <row r="21">
      <c r="A21" s="5" t="inlineStr">
        <is>
          <t>그랜드 부다페스트 호텔</t>
        </is>
      </c>
      <c r="B21" s="5" t="inlineStr">
        <is>
          <t>2026-04-08</t>
        </is>
      </c>
      <c r="C21" s="5" t="inlineStr">
        <is>
          <t>2014-03-20</t>
        </is>
      </c>
      <c r="D21" s="5" t="inlineStr">
        <is>
          <t>재개봉/구작</t>
        </is>
      </c>
      <c r="E21" s="5" t="inlineStr">
        <is>
          <t>실사 외화</t>
        </is>
      </c>
      <c r="F21" s="5" t="inlineStr">
        <is>
          <t>종영</t>
        </is>
      </c>
      <c r="G21" s="7" t="n">
        <v>9624</v>
      </c>
      <c r="H21" s="7" t="n">
        <v>20307</v>
      </c>
      <c r="I21" s="7" t="n">
        <v>81</v>
      </c>
      <c r="J21" s="7" t="n">
        <v>3077</v>
      </c>
      <c r="K21" s="8">
        <f>IFERROR(G21/H21,"")</f>
        <v/>
      </c>
      <c r="L21" s="13">
        <f>IFERROR(J21/H21,"")</f>
        <v/>
      </c>
      <c r="M21" s="7" t="n">
        <v>81</v>
      </c>
      <c r="N21" s="19" t="n">
        <v>23.8</v>
      </c>
      <c r="O21" s="19" t="n">
        <v>190</v>
      </c>
      <c r="P21" s="7" t="n">
        <v>5</v>
      </c>
      <c r="Q21" s="5" t="inlineStr">
        <is>
          <t>2026-04-06</t>
        </is>
      </c>
      <c r="R21" s="5" t="inlineStr">
        <is>
          <t>2026-05-10</t>
        </is>
      </c>
      <c r="S21" s="5" t="inlineStr">
        <is>
          <t>미스터리,어드벤처</t>
        </is>
      </c>
      <c r="T21" s="5" t="inlineStr">
        <is>
          <t>미국</t>
        </is>
      </c>
      <c r="U21" s="5" t="inlineStr">
        <is>
          <t>(주)피터팬픽쳐스,이십세기폭스코리아(주),월트디즈니컴퍼니코리아 유한책임회사</t>
        </is>
      </c>
    </row>
    <row r="22">
      <c r="A22" s="5" t="inlineStr">
        <is>
          <t>라이프 오브 파이</t>
        </is>
      </c>
      <c r="B22" s="5" t="inlineStr">
        <is>
          <t>2026-03-25</t>
        </is>
      </c>
      <c r="C22" s="5" t="inlineStr">
        <is>
          <t>2013-01-01</t>
        </is>
      </c>
      <c r="D22" s="5" t="inlineStr">
        <is>
          <t>재개봉/구작</t>
        </is>
      </c>
      <c r="E22" s="5" t="inlineStr">
        <is>
          <t>실사 외화</t>
        </is>
      </c>
      <c r="F22" s="5" t="inlineStr">
        <is>
          <t>종영</t>
        </is>
      </c>
      <c r="G22" s="7" t="n">
        <v>9540</v>
      </c>
      <c r="H22" s="7" t="n">
        <v>16920</v>
      </c>
      <c r="I22" s="7" t="n">
        <v>58</v>
      </c>
      <c r="J22" s="7" t="n">
        <v>3065</v>
      </c>
      <c r="K22" s="8">
        <f>IFERROR(G22/H22,"")</f>
        <v/>
      </c>
      <c r="L22" s="13">
        <f>IFERROR(J22/H22,"")</f>
        <v/>
      </c>
      <c r="M22" s="7" t="n">
        <v>58</v>
      </c>
      <c r="N22" s="19" t="n">
        <v>26</v>
      </c>
      <c r="O22" s="19" t="n">
        <v>214</v>
      </c>
      <c r="P22" s="7" t="n">
        <v>4</v>
      </c>
      <c r="Q22" s="5" t="inlineStr">
        <is>
          <t>2026-03-23</t>
        </is>
      </c>
      <c r="R22" s="5" t="inlineStr">
        <is>
          <t>2026-04-19</t>
        </is>
      </c>
      <c r="S22" s="5" t="inlineStr">
        <is>
          <t>어드벤처,드라마</t>
        </is>
      </c>
      <c r="T22" s="5" t="inlineStr">
        <is>
          <t>미국</t>
        </is>
      </c>
      <c r="U22" s="5" t="inlineStr">
        <is>
          <t>월트디즈니컴퍼니코리아 유한책임회사,주식회사 해리슨앤컴퍼니,이십세기폭스코리아(주)</t>
        </is>
      </c>
    </row>
    <row r="23">
      <c r="A23" s="5" t="inlineStr">
        <is>
          <t>366일</t>
        </is>
      </c>
      <c r="B23" s="5" t="inlineStr">
        <is>
          <t>2025-06-11</t>
        </is>
      </c>
      <c r="C23" s="5" t="inlineStr"/>
      <c r="D23" s="5" t="inlineStr">
        <is>
          <t>재개봉/구작</t>
        </is>
      </c>
      <c r="E23" s="5" t="inlineStr">
        <is>
          <t>실사 외화</t>
        </is>
      </c>
      <c r="F23" s="5" t="inlineStr">
        <is>
          <t>종영</t>
        </is>
      </c>
      <c r="G23" s="7" t="n">
        <v>9120</v>
      </c>
      <c r="H23" s="7" t="n">
        <v>25550</v>
      </c>
      <c r="I23" s="7" t="n">
        <v>134</v>
      </c>
      <c r="J23" s="7" t="n">
        <v>1138</v>
      </c>
      <c r="K23" s="8">
        <f>IFERROR(G23/H23,"")</f>
        <v/>
      </c>
      <c r="L23" s="13">
        <f>IFERROR(J23/H23,"")</f>
        <v/>
      </c>
      <c r="M23" s="7" t="n">
        <v>133</v>
      </c>
      <c r="N23" s="19" t="n">
        <v>43.9</v>
      </c>
      <c r="O23" s="19" t="n">
        <v>151</v>
      </c>
      <c r="P23" s="7" t="n">
        <v>5</v>
      </c>
      <c r="Q23" s="5" t="inlineStr">
        <is>
          <t>2025-06-09</t>
        </is>
      </c>
      <c r="R23" s="5" t="inlineStr">
        <is>
          <t>2025-07-13</t>
        </is>
      </c>
      <c r="S23" s="5" t="inlineStr">
        <is>
          <t>멜로/로맨스</t>
        </is>
      </c>
      <c r="T23" s="5" t="inlineStr">
        <is>
          <t>몽고</t>
        </is>
      </c>
      <c r="U23" s="5" t="inlineStr"/>
    </row>
    <row r="24">
      <c r="A24" s="5" t="inlineStr">
        <is>
          <t>우마무스메 프리티 더비 로드 투 더 탑</t>
        </is>
      </c>
      <c r="B24" s="5" t="inlineStr">
        <is>
          <t>2024-06-27</t>
        </is>
      </c>
      <c r="C24" s="5" t="inlineStr"/>
      <c r="D24" s="5" t="inlineStr">
        <is>
          <t>재개봉/구작</t>
        </is>
      </c>
      <c r="E24" s="5" t="inlineStr">
        <is>
          <t>애니메이션</t>
        </is>
      </c>
      <c r="F24" s="5" t="inlineStr">
        <is>
          <t>종영</t>
        </is>
      </c>
      <c r="G24" s="7" t="n">
        <v>8135</v>
      </c>
      <c r="H24" s="7" t="n">
        <v>13305</v>
      </c>
      <c r="I24" s="7" t="n">
        <v>64</v>
      </c>
      <c r="J24" s="7" t="n">
        <v>2741</v>
      </c>
      <c r="K24" s="8">
        <f>IFERROR(G24/H24,"")</f>
        <v/>
      </c>
      <c r="L24" s="13">
        <f>IFERROR(J24/H24,"")</f>
        <v/>
      </c>
      <c r="M24" s="7" t="n">
        <v>64</v>
      </c>
      <c r="N24" s="19" t="n">
        <v>44.2</v>
      </c>
      <c r="O24" s="19" t="n">
        <v>161</v>
      </c>
      <c r="P24" s="7" t="n">
        <v>3</v>
      </c>
      <c r="Q24" s="5" t="inlineStr">
        <is>
          <t>2024-06-24</t>
        </is>
      </c>
      <c r="R24" s="5" t="inlineStr">
        <is>
          <t>2024-07-14</t>
        </is>
      </c>
      <c r="S24" s="5" t="inlineStr">
        <is>
          <t>애니메이션</t>
        </is>
      </c>
      <c r="T24" s="5" t="inlineStr">
        <is>
          <t>일본</t>
        </is>
      </c>
      <c r="U24" s="5" t="inlineStr">
        <is>
          <t>(주)애니플러스</t>
        </is>
      </c>
    </row>
    <row r="25">
      <c r="A25" s="5" t="inlineStr">
        <is>
          <t>스타 이즈 본</t>
        </is>
      </c>
      <c r="B25" s="5" t="inlineStr">
        <is>
          <t>2023-11-29</t>
        </is>
      </c>
      <c r="C25" s="5" t="inlineStr">
        <is>
          <t>2018-10-09</t>
        </is>
      </c>
      <c r="D25" s="5" t="inlineStr">
        <is>
          <t>재개봉/구작</t>
        </is>
      </c>
      <c r="E25" s="5" t="inlineStr">
        <is>
          <t>실사 외화</t>
        </is>
      </c>
      <c r="F25" s="5" t="inlineStr">
        <is>
          <t>종영</t>
        </is>
      </c>
      <c r="G25" s="7" t="n">
        <v>6925</v>
      </c>
      <c r="H25" s="7" t="n">
        <v>19370</v>
      </c>
      <c r="I25" s="7" t="n">
        <v>52</v>
      </c>
      <c r="J25" s="7" t="n">
        <v>1766</v>
      </c>
      <c r="K25" s="8">
        <f>IFERROR(G25/H25,"")</f>
        <v/>
      </c>
      <c r="L25" s="13">
        <f>IFERROR(J25/H25,"")</f>
        <v/>
      </c>
      <c r="M25" s="7" t="n">
        <v>53</v>
      </c>
      <c r="N25" s="19" t="n">
        <v>27.9</v>
      </c>
      <c r="O25" s="19" t="n">
        <v>242</v>
      </c>
      <c r="P25" s="7" t="n">
        <v>3</v>
      </c>
      <c r="Q25" s="5" t="inlineStr">
        <is>
          <t>2023-11-27</t>
        </is>
      </c>
      <c r="R25" s="5" t="inlineStr">
        <is>
          <t>2023-12-17</t>
        </is>
      </c>
      <c r="S25" s="5" t="inlineStr">
        <is>
          <t>드라마,멜로/로맨스</t>
        </is>
      </c>
      <c r="T25" s="5" t="inlineStr">
        <is>
          <t>미국</t>
        </is>
      </c>
      <c r="U25" s="5" t="inlineStr">
        <is>
          <t>워너브러더스 코리아(주)</t>
        </is>
      </c>
    </row>
    <row r="26">
      <c r="A26" s="5" t="inlineStr">
        <is>
          <t>화양연화</t>
        </is>
      </c>
      <c r="B26" s="5" t="inlineStr">
        <is>
          <t>2024-02-14</t>
        </is>
      </c>
      <c r="C26" s="5" t="inlineStr">
        <is>
          <t>2000-10-20</t>
        </is>
      </c>
      <c r="D26" s="5" t="inlineStr">
        <is>
          <t>재개봉/구작</t>
        </is>
      </c>
      <c r="E26" s="5" t="inlineStr">
        <is>
          <t>실사 외화</t>
        </is>
      </c>
      <c r="F26" s="5" t="inlineStr">
        <is>
          <t>종영</t>
        </is>
      </c>
      <c r="G26" s="7" t="n">
        <v>6706</v>
      </c>
      <c r="H26" s="7" t="n">
        <v>6629</v>
      </c>
      <c r="I26" s="7" t="n">
        <v>50</v>
      </c>
      <c r="J26" s="7" t="n">
        <v>1232</v>
      </c>
      <c r="K26" s="8">
        <f>IFERROR(G26/H26,"")</f>
        <v/>
      </c>
      <c r="L26" s="13">
        <f>IFERROR(J26/H26,"")</f>
        <v/>
      </c>
      <c r="M26" s="7" t="n">
        <v>50</v>
      </c>
      <c r="N26" s="19" t="n">
        <v>38.1</v>
      </c>
      <c r="O26" s="19" t="n">
        <v>129</v>
      </c>
      <c r="P26" s="7" t="n">
        <v>3</v>
      </c>
      <c r="Q26" s="5" t="inlineStr">
        <is>
          <t>2024-02-12</t>
        </is>
      </c>
      <c r="R26" s="5" t="inlineStr">
        <is>
          <t>2024-03-03</t>
        </is>
      </c>
      <c r="S26" s="5" t="inlineStr">
        <is>
          <t>드라마,멜로/로맨스</t>
        </is>
      </c>
      <c r="T26" s="5" t="inlineStr">
        <is>
          <t>홍콩</t>
        </is>
      </c>
      <c r="U26" s="5" t="inlineStr">
        <is>
          <t>(주)디스테이션</t>
        </is>
      </c>
    </row>
    <row r="27">
      <c r="A27" s="5" t="inlineStr">
        <is>
          <t>카우보이 비밥-천국의문</t>
        </is>
      </c>
      <c r="B27" s="5" t="inlineStr">
        <is>
          <t>2025-04-25</t>
        </is>
      </c>
      <c r="C27" s="5" t="inlineStr">
        <is>
          <t>2003-10-03</t>
        </is>
      </c>
      <c r="D27" s="5" t="inlineStr">
        <is>
          <t>재개봉/구작</t>
        </is>
      </c>
      <c r="E27" s="5" t="inlineStr">
        <is>
          <t>애니메이션</t>
        </is>
      </c>
      <c r="F27" s="5" t="inlineStr">
        <is>
          <t>종영</t>
        </is>
      </c>
      <c r="G27" s="7" t="n">
        <v>6705</v>
      </c>
      <c r="H27" s="7" t="n">
        <v>20774</v>
      </c>
      <c r="I27" s="7" t="n">
        <v>89</v>
      </c>
      <c r="J27" s="7" t="n">
        <v>1473</v>
      </c>
      <c r="K27" s="8">
        <f>IFERROR(G27/H27,"")</f>
        <v/>
      </c>
      <c r="L27" s="13">
        <f>IFERROR(J27/H27,"")</f>
        <v/>
      </c>
      <c r="M27" s="7" t="n">
        <v>89</v>
      </c>
      <c r="N27" s="19" t="n">
        <v>43.7</v>
      </c>
      <c r="O27" s="19" t="n">
        <v>144</v>
      </c>
      <c r="P27" s="7" t="n">
        <v>5</v>
      </c>
      <c r="Q27" s="5" t="inlineStr">
        <is>
          <t>2025-04-21</t>
        </is>
      </c>
      <c r="R27" s="5" t="inlineStr">
        <is>
          <t>2025-05-25</t>
        </is>
      </c>
      <c r="S27" s="5" t="inlineStr">
        <is>
          <t>애니메이션,액션</t>
        </is>
      </c>
      <c r="T27" s="5" t="inlineStr">
        <is>
          <t>일본</t>
        </is>
      </c>
      <c r="U27" s="5" t="inlineStr">
        <is>
          <t>콜럼비아트라이스타㈜</t>
        </is>
      </c>
    </row>
    <row r="28">
      <c r="A28" s="5" t="inlineStr">
        <is>
          <t>단다단: 사안</t>
        </is>
      </c>
      <c r="B28" s="5" t="inlineStr">
        <is>
          <t>2025-06-05</t>
        </is>
      </c>
      <c r="C28" s="5" t="inlineStr"/>
      <c r="D28" s="5" t="inlineStr">
        <is>
          <t>재개봉/구작</t>
        </is>
      </c>
      <c r="E28" s="5" t="inlineStr">
        <is>
          <t>애니메이션</t>
        </is>
      </c>
      <c r="F28" s="5" t="inlineStr">
        <is>
          <t>종영</t>
        </is>
      </c>
      <c r="G28" s="7" t="n">
        <v>6504</v>
      </c>
      <c r="H28" s="7" t="n">
        <v>12363</v>
      </c>
      <c r="I28" s="7" t="n">
        <v>66</v>
      </c>
      <c r="J28" s="7" t="n">
        <v>1419</v>
      </c>
      <c r="K28" s="8">
        <f>IFERROR(G28/H28,"")</f>
        <v/>
      </c>
      <c r="L28" s="13">
        <f>IFERROR(J28/H28,"")</f>
        <v/>
      </c>
      <c r="M28" s="7" t="n">
        <v>65</v>
      </c>
      <c r="N28" s="19" t="n">
        <v>39.2</v>
      </c>
      <c r="O28" s="19" t="n">
        <v>137</v>
      </c>
      <c r="P28" s="7" t="n">
        <v>4</v>
      </c>
      <c r="Q28" s="5" t="inlineStr">
        <is>
          <t>2025-06-02</t>
        </is>
      </c>
      <c r="R28" s="5" t="inlineStr">
        <is>
          <t>2025-06-29</t>
        </is>
      </c>
      <c r="S28" s="5" t="inlineStr">
        <is>
          <t>애니메이션</t>
        </is>
      </c>
      <c r="T28" s="5" t="inlineStr">
        <is>
          <t>일본</t>
        </is>
      </c>
      <c r="U28" s="5" t="inlineStr">
        <is>
          <t>(주)애니플러스</t>
        </is>
      </c>
    </row>
    <row r="29">
      <c r="A29" s="5" t="inlineStr">
        <is>
          <t>헤드윅</t>
        </is>
      </c>
      <c r="B29" s="5" t="inlineStr">
        <is>
          <t>2023-12-06</t>
        </is>
      </c>
      <c r="C29" s="5" t="inlineStr">
        <is>
          <t>2002-08-09</t>
        </is>
      </c>
      <c r="D29" s="5" t="inlineStr">
        <is>
          <t>재개봉/구작</t>
        </is>
      </c>
      <c r="E29" s="5" t="inlineStr">
        <is>
          <t>공연·실황</t>
        </is>
      </c>
      <c r="F29" s="5" t="inlineStr">
        <is>
          <t>종영</t>
        </is>
      </c>
      <c r="G29" s="7" t="n">
        <v>6280</v>
      </c>
      <c r="H29" s="7" t="n">
        <v>11909</v>
      </c>
      <c r="I29" s="7" t="n">
        <v>59</v>
      </c>
      <c r="J29" s="7" t="n">
        <v>2552</v>
      </c>
      <c r="K29" s="8">
        <f>IFERROR(G29/H29,"")</f>
        <v/>
      </c>
      <c r="L29" s="13">
        <f>IFERROR(J29/H29,"")</f>
        <v/>
      </c>
      <c r="M29" s="7" t="n">
        <v>59</v>
      </c>
      <c r="N29" s="19" t="n">
        <v>45.4</v>
      </c>
      <c r="O29" s="19" t="n">
        <v>157</v>
      </c>
      <c r="P29" s="7" t="n">
        <v>3</v>
      </c>
      <c r="Q29" s="5" t="inlineStr">
        <is>
          <t>2023-12-04</t>
        </is>
      </c>
      <c r="R29" s="5" t="inlineStr">
        <is>
          <t>2023-12-24</t>
        </is>
      </c>
      <c r="S29" s="5" t="inlineStr">
        <is>
          <t>뮤지컬</t>
        </is>
      </c>
      <c r="T29" s="5" t="inlineStr">
        <is>
          <t>미국</t>
        </is>
      </c>
      <c r="U29" s="5" t="inlineStr">
        <is>
          <t>워너브러더스 코리아(주),(주)엣나인필름,(주)씨네월드</t>
        </is>
      </c>
    </row>
    <row r="30">
      <c r="A30" s="5" t="inlineStr">
        <is>
          <t>아이언맨</t>
        </is>
      </c>
      <c r="B30" s="5" t="inlineStr">
        <is>
          <t>2024-10-09</t>
        </is>
      </c>
      <c r="C30" s="5" t="inlineStr">
        <is>
          <t>2008-04-30</t>
        </is>
      </c>
      <c r="D30" s="5" t="inlineStr">
        <is>
          <t>재개봉/구작</t>
        </is>
      </c>
      <c r="E30" s="5" t="inlineStr">
        <is>
          <t>실사 외화</t>
        </is>
      </c>
      <c r="F30" s="5" t="inlineStr">
        <is>
          <t>종영</t>
        </is>
      </c>
      <c r="G30" s="7" t="n">
        <v>5944</v>
      </c>
      <c r="H30" s="7" t="n">
        <v>18444</v>
      </c>
      <c r="I30" s="7" t="n">
        <v>88</v>
      </c>
      <c r="J30" s="7" t="n">
        <v>2924</v>
      </c>
      <c r="K30" s="8">
        <f>IFERROR(G30/H30,"")</f>
        <v/>
      </c>
      <c r="L30" s="13">
        <f>IFERROR(J30/H30,"")</f>
        <v/>
      </c>
      <c r="M30" s="7" t="n">
        <v>88</v>
      </c>
      <c r="N30" s="19" t="n">
        <v>50.4</v>
      </c>
      <c r="O30" s="19" t="n">
        <v>173</v>
      </c>
      <c r="P30" s="7" t="n">
        <v>3</v>
      </c>
      <c r="Q30" s="5" t="inlineStr">
        <is>
          <t>2024-10-07</t>
        </is>
      </c>
      <c r="R30" s="5" t="inlineStr">
        <is>
          <t>2024-10-27</t>
        </is>
      </c>
      <c r="S30" s="5" t="inlineStr">
        <is>
          <t>SF,드라마,액션</t>
        </is>
      </c>
      <c r="T30" s="5" t="inlineStr">
        <is>
          <t>미국</t>
        </is>
      </c>
      <c r="U30" s="5" t="inlineStr">
        <is>
          <t>씨제이엔터테인먼트</t>
        </is>
      </c>
    </row>
    <row r="31">
      <c r="A31" s="5" t="inlineStr">
        <is>
          <t>5등분의 신부 스페셜</t>
        </is>
      </c>
      <c r="B31" s="5" t="inlineStr">
        <is>
          <t>2023-10-12</t>
        </is>
      </c>
      <c r="C31" s="5" t="inlineStr"/>
      <c r="D31" s="5" t="inlineStr">
        <is>
          <t>재개봉/구작</t>
        </is>
      </c>
      <c r="E31" s="5" t="inlineStr">
        <is>
          <t>애니메이션</t>
        </is>
      </c>
      <c r="F31" s="5" t="inlineStr">
        <is>
          <t>종영</t>
        </is>
      </c>
      <c r="G31" s="7" t="n">
        <v>5854</v>
      </c>
      <c r="H31" s="7" t="n">
        <v>13124</v>
      </c>
      <c r="I31" s="7" t="n">
        <v>69</v>
      </c>
      <c r="J31" s="7" t="n">
        <v>833</v>
      </c>
      <c r="K31" s="8">
        <f>IFERROR(G31/H31,"")</f>
        <v/>
      </c>
      <c r="L31" s="13">
        <f>IFERROR(J31/H31,"")</f>
        <v/>
      </c>
      <c r="M31" s="7" t="n">
        <v>69</v>
      </c>
      <c r="N31" s="19" t="n">
        <v>36.7</v>
      </c>
      <c r="O31" s="19" t="n">
        <v>155</v>
      </c>
      <c r="P31" s="7" t="n">
        <v>4</v>
      </c>
      <c r="Q31" s="5" t="inlineStr">
        <is>
          <t>2023-10-09</t>
        </is>
      </c>
      <c r="R31" s="5" t="inlineStr">
        <is>
          <t>2023-11-05</t>
        </is>
      </c>
      <c r="S31" s="5" t="inlineStr">
        <is>
          <t>애니메이션</t>
        </is>
      </c>
      <c r="T31" s="5" t="inlineStr">
        <is>
          <t>일본</t>
        </is>
      </c>
      <c r="U31" s="5" t="inlineStr"/>
    </row>
    <row r="32">
      <c r="A32" s="5" t="inlineStr">
        <is>
          <t>지리멸렬</t>
        </is>
      </c>
      <c r="B32" s="5" t="inlineStr">
        <is>
          <t>2025-08-27</t>
        </is>
      </c>
      <c r="C32" s="5" t="inlineStr"/>
      <c r="D32" s="5" t="inlineStr">
        <is>
          <t>재개봉/구작</t>
        </is>
      </c>
      <c r="E32" s="5" t="inlineStr">
        <is>
          <t>실사 한국</t>
        </is>
      </c>
      <c r="F32" s="5" t="inlineStr">
        <is>
          <t>종영</t>
        </is>
      </c>
      <c r="G32" s="7" t="n">
        <v>5268</v>
      </c>
      <c r="H32" s="7" t="n">
        <v>11813</v>
      </c>
      <c r="I32" s="7" t="n">
        <v>88</v>
      </c>
      <c r="J32" s="7" t="n">
        <v>783</v>
      </c>
      <c r="K32" s="8">
        <f>IFERROR(G32/H32,"")</f>
        <v/>
      </c>
      <c r="L32" s="13">
        <f>IFERROR(J32/H32,"")</f>
        <v/>
      </c>
      <c r="M32" s="7" t="n">
        <v>87</v>
      </c>
      <c r="N32" s="19" t="n">
        <v>45.2</v>
      </c>
      <c r="O32" s="19" t="n">
        <v>123</v>
      </c>
      <c r="P32" s="7" t="n">
        <v>5</v>
      </c>
      <c r="Q32" s="5" t="inlineStr">
        <is>
          <t>2025-08-25</t>
        </is>
      </c>
      <c r="R32" s="5" t="inlineStr">
        <is>
          <t>2025-09-28</t>
        </is>
      </c>
      <c r="S32" s="5" t="inlineStr">
        <is>
          <t>코미디</t>
        </is>
      </c>
      <c r="T32" s="5" t="inlineStr">
        <is>
          <t>한국</t>
        </is>
      </c>
      <c r="U32" s="5" t="inlineStr">
        <is>
          <t>㈜인디스토리</t>
        </is>
      </c>
    </row>
    <row r="33">
      <c r="A33" s="5" t="inlineStr">
        <is>
          <t>기쿠지로의 여름</t>
        </is>
      </c>
      <c r="B33" s="5" t="inlineStr">
        <is>
          <t>2024-07-03</t>
        </is>
      </c>
      <c r="C33" s="5" t="inlineStr">
        <is>
          <t>2002-08-30</t>
        </is>
      </c>
      <c r="D33" s="5" t="inlineStr">
        <is>
          <t>재개봉/구작</t>
        </is>
      </c>
      <c r="E33" s="5" t="inlineStr">
        <is>
          <t>실사 외화</t>
        </is>
      </c>
      <c r="F33" s="5" t="inlineStr">
        <is>
          <t>종영</t>
        </is>
      </c>
      <c r="G33" s="7" t="n">
        <v>5186</v>
      </c>
      <c r="H33" s="7" t="n">
        <v>8163</v>
      </c>
      <c r="I33" s="7" t="n">
        <v>59</v>
      </c>
      <c r="J33" s="7" t="n">
        <v>1024</v>
      </c>
      <c r="K33" s="8">
        <f>IFERROR(G33/H33,"")</f>
        <v/>
      </c>
      <c r="L33" s="13">
        <f>IFERROR(J33/H33,"")</f>
        <v/>
      </c>
      <c r="M33" s="7" t="n">
        <v>59</v>
      </c>
      <c r="N33" s="19" t="n">
        <v>18.8</v>
      </c>
      <c r="O33" s="19" t="n">
        <v>131</v>
      </c>
      <c r="P33" s="7" t="n">
        <v>5</v>
      </c>
      <c r="Q33" s="5" t="inlineStr">
        <is>
          <t>2024-07-01</t>
        </is>
      </c>
      <c r="R33" s="5" t="inlineStr">
        <is>
          <t>2024-08-04</t>
        </is>
      </c>
      <c r="S33" s="5" t="inlineStr">
        <is>
          <t>코미디</t>
        </is>
      </c>
      <c r="T33" s="5" t="inlineStr">
        <is>
          <t>일본</t>
        </is>
      </c>
      <c r="U33" s="5" t="inlineStr">
        <is>
          <t>(주)영화사 진진,(주)튜브엔터테인먼트</t>
        </is>
      </c>
    </row>
    <row r="34">
      <c r="A34" s="5" t="inlineStr">
        <is>
          <t>렛 미 인</t>
        </is>
      </c>
      <c r="B34" s="5" t="inlineStr">
        <is>
          <t>2025-01-15</t>
        </is>
      </c>
      <c r="C34" s="5" t="inlineStr">
        <is>
          <t>2010-11-18</t>
        </is>
      </c>
      <c r="D34" s="5" t="inlineStr">
        <is>
          <t>재개봉/구작</t>
        </is>
      </c>
      <c r="E34" s="5" t="inlineStr">
        <is>
          <t>실사 외화</t>
        </is>
      </c>
      <c r="F34" s="5" t="inlineStr">
        <is>
          <t>종영</t>
        </is>
      </c>
      <c r="G34" s="7" t="n">
        <v>5160</v>
      </c>
      <c r="H34" s="7" t="n">
        <v>24909</v>
      </c>
      <c r="I34" s="7" t="n">
        <v>116</v>
      </c>
      <c r="J34" s="7" t="n">
        <v>682</v>
      </c>
      <c r="K34" s="8">
        <f>IFERROR(G34/H34,"")</f>
        <v/>
      </c>
      <c r="L34" s="13">
        <f>IFERROR(J34/H34,"")</f>
        <v/>
      </c>
      <c r="M34" s="7" t="n">
        <v>112</v>
      </c>
      <c r="N34" s="19" t="n">
        <v>28.5</v>
      </c>
      <c r="O34" s="19" t="n">
        <v>171</v>
      </c>
      <c r="P34" s="7" t="n">
        <v>6</v>
      </c>
      <c r="Q34" s="5" t="inlineStr">
        <is>
          <t>2025-01-06</t>
        </is>
      </c>
      <c r="R34" s="5" t="inlineStr">
        <is>
          <t>2025-02-16</t>
        </is>
      </c>
      <c r="S34" s="5" t="inlineStr">
        <is>
          <t>드라마,판타지,공포(호러),미스터리</t>
        </is>
      </c>
      <c r="T34" s="5" t="inlineStr">
        <is>
          <t>영국</t>
        </is>
      </c>
      <c r="U34" s="5" t="inlineStr">
        <is>
          <t>롯데쇼핑㈜롯데엔터테인먼트</t>
        </is>
      </c>
    </row>
    <row r="35">
      <c r="A35" s="5" t="inlineStr">
        <is>
          <t>영웅본색</t>
        </is>
      </c>
      <c r="B35" s="5" t="inlineStr">
        <is>
          <t>2024-03-27</t>
        </is>
      </c>
      <c r="C35" s="5" t="inlineStr">
        <is>
          <t>1987-05-23</t>
        </is>
      </c>
      <c r="D35" s="5" t="inlineStr">
        <is>
          <t>재개봉/구작</t>
        </is>
      </c>
      <c r="E35" s="5" t="inlineStr">
        <is>
          <t>실사 외화</t>
        </is>
      </c>
      <c r="F35" s="5" t="inlineStr">
        <is>
          <t>종영</t>
        </is>
      </c>
      <c r="G35" s="7" t="n">
        <v>5154</v>
      </c>
      <c r="H35" s="7" t="n">
        <v>8172</v>
      </c>
      <c r="I35" s="7" t="n">
        <v>61</v>
      </c>
      <c r="J35" s="7" t="n">
        <v>911</v>
      </c>
      <c r="K35" s="8">
        <f>IFERROR(G35/H35,"")</f>
        <v/>
      </c>
      <c r="L35" s="13">
        <f>IFERROR(J35/H35,"")</f>
        <v/>
      </c>
      <c r="M35" s="7" t="n">
        <v>61</v>
      </c>
      <c r="N35" s="19" t="n">
        <v>23.6</v>
      </c>
      <c r="O35" s="19" t="n">
        <v>135</v>
      </c>
      <c r="P35" s="7" t="n">
        <v>5</v>
      </c>
      <c r="Q35" s="5" t="inlineStr">
        <is>
          <t>2024-03-25</t>
        </is>
      </c>
      <c r="R35" s="5" t="inlineStr">
        <is>
          <t>2024-04-28</t>
        </is>
      </c>
      <c r="S35" s="5" t="inlineStr">
        <is>
          <t>액션,범죄</t>
        </is>
      </c>
      <c r="T35" s="5" t="inlineStr">
        <is>
          <t>홍콩</t>
        </is>
      </c>
      <c r="U35" s="5" t="inlineStr">
        <is>
          <t>(주)제이앤씨미디어그룹,와이드 릴리즈(주),(유)조이앤시네마</t>
        </is>
      </c>
    </row>
    <row r="36">
      <c r="A36" s="5" t="inlineStr">
        <is>
          <t>클래식</t>
        </is>
      </c>
      <c r="B36" s="5" t="inlineStr">
        <is>
          <t>2024-07-03</t>
        </is>
      </c>
      <c r="C36" s="5" t="inlineStr">
        <is>
          <t>2003-01-30</t>
        </is>
      </c>
      <c r="D36" s="5" t="inlineStr">
        <is>
          <t>재개봉/구작</t>
        </is>
      </c>
      <c r="E36" s="5" t="inlineStr">
        <is>
          <t>실사 한국</t>
        </is>
      </c>
      <c r="F36" s="5" t="inlineStr">
        <is>
          <t>종영</t>
        </is>
      </c>
      <c r="G36" s="7" t="n">
        <v>5098</v>
      </c>
      <c r="H36" s="7" t="n">
        <v>7339</v>
      </c>
      <c r="I36" s="7" t="n">
        <v>53</v>
      </c>
      <c r="J36" s="7" t="n">
        <v>1065</v>
      </c>
      <c r="K36" s="8">
        <f>IFERROR(G36/H36,"")</f>
        <v/>
      </c>
      <c r="L36" s="13">
        <f>IFERROR(J36/H36,"")</f>
        <v/>
      </c>
      <c r="M36" s="7" t="n">
        <v>53</v>
      </c>
      <c r="N36" s="19" t="n">
        <v>11</v>
      </c>
      <c r="O36" s="19" t="n">
        <v>127</v>
      </c>
      <c r="P36" s="7" t="n">
        <v>7</v>
      </c>
      <c r="Q36" s="5" t="inlineStr">
        <is>
          <t>2024-07-01</t>
        </is>
      </c>
      <c r="R36" s="5" t="inlineStr">
        <is>
          <t>2024-08-18</t>
        </is>
      </c>
      <c r="S36" s="5" t="inlineStr">
        <is>
          <t>드라마</t>
        </is>
      </c>
      <c r="T36" s="5" t="inlineStr">
        <is>
          <t>한국</t>
        </is>
      </c>
      <c r="U36" s="5" t="inlineStr">
        <is>
          <t>(주)시네마서비스,(주)씨제이이엔엠</t>
        </is>
      </c>
    </row>
    <row r="37">
      <c r="A37" s="5" t="inlineStr">
        <is>
          <t>아이언맨 3</t>
        </is>
      </c>
      <c r="B37" s="5" t="inlineStr">
        <is>
          <t>2024-10-09</t>
        </is>
      </c>
      <c r="C37" s="5" t="inlineStr">
        <is>
          <t>2013-04-25</t>
        </is>
      </c>
      <c r="D37" s="5" t="inlineStr">
        <is>
          <t>재개봉/구작</t>
        </is>
      </c>
      <c r="E37" s="5" t="inlineStr">
        <is>
          <t>실사 외화</t>
        </is>
      </c>
      <c r="F37" s="5" t="inlineStr">
        <is>
          <t>종영</t>
        </is>
      </c>
      <c r="G37" s="7" t="n">
        <v>4494</v>
      </c>
      <c r="H37" s="7" t="n">
        <v>16028</v>
      </c>
      <c r="I37" s="7" t="n">
        <v>88</v>
      </c>
      <c r="J37" s="7" t="n">
        <v>1009</v>
      </c>
      <c r="K37" s="8">
        <f>IFERROR(G37/H37,"")</f>
        <v/>
      </c>
      <c r="L37" s="13">
        <f>IFERROR(J37/H37,"")</f>
        <v/>
      </c>
      <c r="M37" s="7" t="n">
        <v>88</v>
      </c>
      <c r="N37" s="19" t="n">
        <v>49</v>
      </c>
      <c r="O37" s="19" t="n">
        <v>166</v>
      </c>
      <c r="P37" s="7" t="n">
        <v>3</v>
      </c>
      <c r="Q37" s="5" t="inlineStr">
        <is>
          <t>2024-10-07</t>
        </is>
      </c>
      <c r="R37" s="5" t="inlineStr">
        <is>
          <t>2024-10-27</t>
        </is>
      </c>
      <c r="S37" s="5" t="inlineStr">
        <is>
          <t>액션,어드벤처,SF</t>
        </is>
      </c>
      <c r="T37" s="5" t="inlineStr">
        <is>
          <t>미국</t>
        </is>
      </c>
      <c r="U37" s="5" t="inlineStr">
        <is>
          <t>소니픽쳐스릴리징월트디즈니스튜디오스코리아(주)</t>
        </is>
      </c>
    </row>
    <row r="38">
      <c r="A38" s="5" t="inlineStr">
        <is>
          <t>8월의 크리스마스</t>
        </is>
      </c>
      <c r="B38" s="5" t="inlineStr">
        <is>
          <t>2024-04-17</t>
        </is>
      </c>
      <c r="C38" s="5" t="inlineStr">
        <is>
          <t>1998-01-24</t>
        </is>
      </c>
      <c r="D38" s="5" t="inlineStr">
        <is>
          <t>재개봉/구작</t>
        </is>
      </c>
      <c r="E38" s="5" t="inlineStr">
        <is>
          <t>실사 한국</t>
        </is>
      </c>
      <c r="F38" s="5" t="inlineStr">
        <is>
          <t>종영</t>
        </is>
      </c>
      <c r="G38" s="7" t="n">
        <v>4426</v>
      </c>
      <c r="H38" s="7" t="n">
        <v>8260</v>
      </c>
      <c r="I38" s="7" t="n">
        <v>59</v>
      </c>
      <c r="J38" s="7" t="n">
        <v>433</v>
      </c>
      <c r="K38" s="8">
        <f>IFERROR(G38/H38,"")</f>
        <v/>
      </c>
      <c r="L38" s="13">
        <f>IFERROR(J38/H38,"")</f>
        <v/>
      </c>
      <c r="M38" s="7" t="n">
        <v>70</v>
      </c>
      <c r="N38" s="19" t="n">
        <v>21.4</v>
      </c>
      <c r="O38" s="19" t="n">
        <v>145</v>
      </c>
      <c r="P38" s="7" t="n">
        <v>5</v>
      </c>
      <c r="Q38" s="5" t="inlineStr">
        <is>
          <t>2024-04-15</t>
        </is>
      </c>
      <c r="R38" s="5" t="inlineStr">
        <is>
          <t>2024-05-19</t>
        </is>
      </c>
      <c r="S38" s="5" t="inlineStr">
        <is>
          <t>멜로/로맨스,드라마</t>
        </is>
      </c>
      <c r="T38" s="5" t="inlineStr">
        <is>
          <t>한국</t>
        </is>
      </c>
      <c r="U38" s="5" t="inlineStr">
        <is>
          <t>한국영상투자개발(주),(주)싸이더스</t>
        </is>
      </c>
    </row>
    <row r="39">
      <c r="A39" s="5" t="inlineStr">
        <is>
          <t>라라랜드</t>
        </is>
      </c>
      <c r="B39" s="5" t="inlineStr">
        <is>
          <t>2023-04-18</t>
        </is>
      </c>
      <c r="C39" s="5" t="inlineStr">
        <is>
          <t>2016-12-07</t>
        </is>
      </c>
      <c r="D39" s="5" t="inlineStr">
        <is>
          <t>재개봉/구작</t>
        </is>
      </c>
      <c r="E39" s="5" t="inlineStr">
        <is>
          <t>공연·실황</t>
        </is>
      </c>
      <c r="F39" s="5" t="inlineStr">
        <is>
          <t>종영</t>
        </is>
      </c>
      <c r="G39" s="7" t="n">
        <v>3751</v>
      </c>
      <c r="H39" s="7" t="n">
        <v>7811</v>
      </c>
      <c r="I39" s="7" t="n">
        <v>50</v>
      </c>
      <c r="J39" s="7" t="n">
        <v>875</v>
      </c>
      <c r="K39" s="8">
        <f>IFERROR(G39/H39,"")</f>
        <v/>
      </c>
      <c r="L39" s="13">
        <f>IFERROR(J39/H39,"")</f>
        <v/>
      </c>
      <c r="M39" s="7" t="n">
        <v>50</v>
      </c>
      <c r="N39" s="19" t="n">
        <v>19.2</v>
      </c>
      <c r="O39" s="19" t="n">
        <v>167</v>
      </c>
      <c r="P39" s="7" t="n">
        <v>4</v>
      </c>
      <c r="Q39" s="5" t="inlineStr">
        <is>
          <t>2023-04-03</t>
        </is>
      </c>
      <c r="R39" s="5" t="inlineStr">
        <is>
          <t>2023-04-30</t>
        </is>
      </c>
      <c r="S39" s="5" t="inlineStr">
        <is>
          <t>드라마,뮤지컬,멜로/로맨스</t>
        </is>
      </c>
      <c r="T39" s="5" t="inlineStr">
        <is>
          <t>미국</t>
        </is>
      </c>
      <c r="U39" s="5" t="inlineStr">
        <is>
          <t>판씨네마(주)</t>
        </is>
      </c>
    </row>
    <row r="40">
      <c r="A40" s="5" t="inlineStr">
        <is>
          <t>시애틀의 잠 못이루는 밤</t>
        </is>
      </c>
      <c r="B40" s="5" t="inlineStr">
        <is>
          <t>2024-12-11</t>
        </is>
      </c>
      <c r="C40" s="5" t="inlineStr">
        <is>
          <t>1993-12-18</t>
        </is>
      </c>
      <c r="D40" s="5" t="inlineStr">
        <is>
          <t>재개봉/구작</t>
        </is>
      </c>
      <c r="E40" s="5" t="inlineStr">
        <is>
          <t>실사 외화</t>
        </is>
      </c>
      <c r="F40" s="5" t="inlineStr">
        <is>
          <t>종영</t>
        </is>
      </c>
      <c r="G40" s="7" t="n">
        <v>3521</v>
      </c>
      <c r="H40" s="7" t="n">
        <v>7134</v>
      </c>
      <c r="I40" s="7" t="n">
        <v>58</v>
      </c>
      <c r="J40" s="7" t="n">
        <v>672</v>
      </c>
      <c r="K40" s="8">
        <f>IFERROR(G40/H40,"")</f>
        <v/>
      </c>
      <c r="L40" s="13">
        <f>IFERROR(J40/H40,"")</f>
        <v/>
      </c>
      <c r="M40" s="7" t="n">
        <v>57</v>
      </c>
      <c r="N40" s="19" t="n">
        <v>42.7</v>
      </c>
      <c r="O40" s="19" t="n">
        <v>111</v>
      </c>
      <c r="P40" s="7" t="n">
        <v>3</v>
      </c>
      <c r="Q40" s="5" t="inlineStr">
        <is>
          <t>2024-12-09</t>
        </is>
      </c>
      <c r="R40" s="5" t="inlineStr">
        <is>
          <t>2024-12-29</t>
        </is>
      </c>
      <c r="S40" s="5" t="inlineStr">
        <is>
          <t>드라마,멜로/로맨스</t>
        </is>
      </c>
      <c r="T40" s="5" t="inlineStr">
        <is>
          <t>미국</t>
        </is>
      </c>
      <c r="U40" s="5" t="inlineStr">
        <is>
          <t>(주)디스테이션</t>
        </is>
      </c>
    </row>
    <row r="41">
      <c r="A41" s="5" t="inlineStr">
        <is>
          <t>숀더쉽 더 무비: 꼬마 외계인 룰라!</t>
        </is>
      </c>
      <c r="B41" s="5" t="inlineStr">
        <is>
          <t>2024-02-08</t>
        </is>
      </c>
      <c r="C41" s="5" t="inlineStr">
        <is>
          <t>2020-02-19</t>
        </is>
      </c>
      <c r="D41" s="5" t="inlineStr">
        <is>
          <t>재개봉/구작</t>
        </is>
      </c>
      <c r="E41" s="5" t="inlineStr">
        <is>
          <t>애니메이션</t>
        </is>
      </c>
      <c r="F41" s="5" t="inlineStr">
        <is>
          <t>종영</t>
        </is>
      </c>
      <c r="G41" s="7" t="n">
        <v>3210</v>
      </c>
      <c r="H41" s="7" t="n">
        <v>5400</v>
      </c>
      <c r="I41" s="7" t="n">
        <v>43</v>
      </c>
      <c r="J41" s="7" t="n">
        <v>143</v>
      </c>
      <c r="K41" s="8">
        <f>IFERROR(G41/H41,"")</f>
        <v/>
      </c>
      <c r="L41" s="13">
        <f>IFERROR(J41/H41,"")</f>
        <v/>
      </c>
      <c r="M41" s="7" t="n">
        <v>50</v>
      </c>
      <c r="N41" s="19" t="n">
        <v>23</v>
      </c>
      <c r="O41" s="19" t="n">
        <v>115</v>
      </c>
      <c r="P41" s="7" t="n">
        <v>3</v>
      </c>
      <c r="Q41" s="5" t="inlineStr">
        <is>
          <t>2024-02-05</t>
        </is>
      </c>
      <c r="R41" s="5" t="inlineStr">
        <is>
          <t>2024-02-25</t>
        </is>
      </c>
      <c r="S41" s="5" t="inlineStr">
        <is>
          <t>애니메이션,어드벤처,코미디</t>
        </is>
      </c>
      <c r="T41" s="5" t="inlineStr">
        <is>
          <t>영국</t>
        </is>
      </c>
      <c r="U41" s="5" t="inlineStr">
        <is>
          <t>TCO(주)더콘텐츠온</t>
        </is>
      </c>
    </row>
    <row r="42">
      <c r="A42" s="5" t="inlineStr">
        <is>
          <t>아이언맨 2</t>
        </is>
      </c>
      <c r="B42" s="5" t="inlineStr">
        <is>
          <t>2024-10-09</t>
        </is>
      </c>
      <c r="C42" s="5" t="inlineStr">
        <is>
          <t>2010-04-29</t>
        </is>
      </c>
      <c r="D42" s="5" t="inlineStr">
        <is>
          <t>재개봉/구작</t>
        </is>
      </c>
      <c r="E42" s="5" t="inlineStr">
        <is>
          <t>실사 외화</t>
        </is>
      </c>
      <c r="F42" s="5" t="inlineStr">
        <is>
          <t>종영</t>
        </is>
      </c>
      <c r="G42" s="7" t="n">
        <v>2935</v>
      </c>
      <c r="H42" s="7" t="n">
        <v>16210</v>
      </c>
      <c r="I42" s="7" t="n">
        <v>81</v>
      </c>
      <c r="J42" s="7" t="n">
        <v>893</v>
      </c>
      <c r="K42" s="8">
        <f>IFERROR(G42/H42,"")</f>
        <v/>
      </c>
      <c r="L42" s="13">
        <f>IFERROR(J42/H42,"")</f>
        <v/>
      </c>
      <c r="M42" s="7" t="n">
        <v>81</v>
      </c>
      <c r="N42" s="19" t="n">
        <v>40.1</v>
      </c>
      <c r="O42" s="19" t="n">
        <v>175</v>
      </c>
      <c r="P42" s="7" t="n">
        <v>3</v>
      </c>
      <c r="Q42" s="5" t="inlineStr">
        <is>
          <t>2024-10-07</t>
        </is>
      </c>
      <c r="R42" s="5" t="inlineStr">
        <is>
          <t>2024-10-27</t>
        </is>
      </c>
      <c r="S42" s="5" t="inlineStr">
        <is>
          <t>SF,액션,어드벤처</t>
        </is>
      </c>
      <c r="T42" s="5" t="inlineStr">
        <is>
          <t>미국</t>
        </is>
      </c>
      <c r="U42" s="5" t="inlineStr">
        <is>
          <t>씨제이엔터테인먼트</t>
        </is>
      </c>
    </row>
    <row r="43">
      <c r="A43" s="5" t="inlineStr">
        <is>
          <t>가을의 전설</t>
        </is>
      </c>
      <c r="B43" s="5" t="inlineStr">
        <is>
          <t>2024-11-27</t>
        </is>
      </c>
      <c r="C43" s="5" t="inlineStr">
        <is>
          <t>1995-03-18</t>
        </is>
      </c>
      <c r="D43" s="5" t="inlineStr">
        <is>
          <t>재개봉/구작</t>
        </is>
      </c>
      <c r="E43" s="5" t="inlineStr">
        <is>
          <t>실사 외화</t>
        </is>
      </c>
      <c r="F43" s="5" t="inlineStr">
        <is>
          <t>종영</t>
        </is>
      </c>
      <c r="G43" s="7" t="n">
        <v>2609</v>
      </c>
      <c r="H43" s="7" t="n">
        <v>12181</v>
      </c>
      <c r="I43" s="7" t="n">
        <v>66</v>
      </c>
      <c r="J43" s="7" t="n">
        <v>548</v>
      </c>
      <c r="K43" s="8">
        <f>IFERROR(G43/H43,"")</f>
        <v/>
      </c>
      <c r="L43" s="13">
        <f>IFERROR(J43/H43,"")</f>
        <v/>
      </c>
      <c r="M43" s="7" t="n">
        <v>65</v>
      </c>
      <c r="N43" s="19" t="n">
        <v>45.9</v>
      </c>
      <c r="O43" s="19" t="n">
        <v>145</v>
      </c>
      <c r="P43" s="7" t="n">
        <v>3</v>
      </c>
      <c r="Q43" s="5" t="inlineStr">
        <is>
          <t>2024-11-25</t>
        </is>
      </c>
      <c r="R43" s="5" t="inlineStr">
        <is>
          <t>2024-12-15</t>
        </is>
      </c>
      <c r="S43" s="5" t="inlineStr">
        <is>
          <t>멜로/로맨스</t>
        </is>
      </c>
      <c r="T43" s="5" t="inlineStr">
        <is>
          <t>미국</t>
        </is>
      </c>
      <c r="U43" s="5" t="inlineStr">
        <is>
          <t>워터홀컴퍼니(주)</t>
        </is>
      </c>
    </row>
    <row r="44">
      <c r="A44" s="5" t="inlineStr">
        <is>
          <t>퓨리</t>
        </is>
      </c>
      <c r="B44" s="5" t="inlineStr">
        <is>
          <t>2024-12-11</t>
        </is>
      </c>
      <c r="C44" s="5" t="inlineStr">
        <is>
          <t>2014-11-20</t>
        </is>
      </c>
      <c r="D44" s="5" t="inlineStr">
        <is>
          <t>재개봉/구작</t>
        </is>
      </c>
      <c r="E44" s="5" t="inlineStr">
        <is>
          <t>실사 외화</t>
        </is>
      </c>
      <c r="F44" s="5" t="inlineStr">
        <is>
          <t>종영</t>
        </is>
      </c>
      <c r="G44" s="7" t="n">
        <v>2538</v>
      </c>
      <c r="H44" s="7" t="n">
        <v>7118</v>
      </c>
      <c r="I44" s="7" t="n">
        <v>53</v>
      </c>
      <c r="J44" s="7" t="n">
        <v>477</v>
      </c>
      <c r="K44" s="8">
        <f>IFERROR(G44/H44,"")</f>
        <v/>
      </c>
      <c r="L44" s="13">
        <f>IFERROR(J44/H44,"")</f>
        <v/>
      </c>
      <c r="M44" s="7" t="n">
        <v>53</v>
      </c>
      <c r="N44" s="19" t="n">
        <v>42.4</v>
      </c>
      <c r="O44" s="19" t="n">
        <v>121</v>
      </c>
      <c r="P44" s="7" t="n">
        <v>3</v>
      </c>
      <c r="Q44" s="5" t="inlineStr">
        <is>
          <t>2024-12-09</t>
        </is>
      </c>
      <c r="R44" s="5" t="inlineStr">
        <is>
          <t>2024-12-29</t>
        </is>
      </c>
      <c r="S44" s="5" t="inlineStr">
        <is>
          <t>액션,드라마,전쟁</t>
        </is>
      </c>
      <c r="T44" s="5" t="inlineStr">
        <is>
          <t>미국</t>
        </is>
      </c>
      <c r="U44" s="5" t="inlineStr">
        <is>
          <t>소니픽쳐스릴리징월트디즈니스튜디오스코리아(주)</t>
        </is>
      </c>
    </row>
    <row r="45">
      <c r="A45" s="5" t="inlineStr">
        <is>
          <t>아이들</t>
        </is>
      </c>
      <c r="B45" s="5" t="inlineStr">
        <is>
          <t>2025-12-17</t>
        </is>
      </c>
      <c r="C45" s="5" t="inlineStr"/>
      <c r="D45" s="5" t="inlineStr">
        <is>
          <t>재개봉/구작</t>
        </is>
      </c>
      <c r="E45" s="5" t="inlineStr">
        <is>
          <t>실사 한국</t>
        </is>
      </c>
      <c r="F45" s="5" t="inlineStr">
        <is>
          <t>종영</t>
        </is>
      </c>
      <c r="G45" s="7" t="n">
        <v>2195</v>
      </c>
      <c r="H45" s="7" t="n">
        <v>8572</v>
      </c>
      <c r="I45" s="7" t="n">
        <v>69</v>
      </c>
      <c r="J45" s="7" t="n">
        <v>306</v>
      </c>
      <c r="K45" s="8">
        <f>IFERROR(G45/H45,"")</f>
        <v/>
      </c>
      <c r="L45" s="13">
        <f>IFERROR(J45/H45,"")</f>
        <v/>
      </c>
      <c r="M45" s="7" t="n">
        <v>69</v>
      </c>
      <c r="N45" s="19" t="n">
        <v>30.4</v>
      </c>
      <c r="O45" s="19" t="n">
        <v>112</v>
      </c>
      <c r="P45" s="7" t="n">
        <v>5</v>
      </c>
      <c r="Q45" s="5" t="inlineStr">
        <is>
          <t>2025-12-15</t>
        </is>
      </c>
      <c r="R45" s="5" t="inlineStr">
        <is>
          <t>2026-01-18</t>
        </is>
      </c>
      <c r="S45" s="5" t="inlineStr">
        <is>
          <t>드라마</t>
        </is>
      </c>
      <c r="T45" s="5" t="inlineStr">
        <is>
          <t>한국</t>
        </is>
      </c>
      <c r="U45" s="5" t="inlineStr">
        <is>
          <t>㈜인디스토리</t>
        </is>
      </c>
    </row>
    <row r="46">
      <c r="A46" s="5" t="inlineStr">
        <is>
          <t>안경</t>
        </is>
      </c>
      <c r="B46" s="5" t="inlineStr">
        <is>
          <t>2025-06-11</t>
        </is>
      </c>
      <c r="C46" s="5" t="inlineStr">
        <is>
          <t>2007-11-29</t>
        </is>
      </c>
      <c r="D46" s="5" t="inlineStr">
        <is>
          <t>재개봉/구작</t>
        </is>
      </c>
      <c r="E46" s="5" t="inlineStr">
        <is>
          <t>실사 외화</t>
        </is>
      </c>
      <c r="F46" s="5" t="inlineStr">
        <is>
          <t>종영</t>
        </is>
      </c>
      <c r="G46" s="7" t="n">
        <v>2098</v>
      </c>
      <c r="H46" s="7" t="n">
        <v>8418</v>
      </c>
      <c r="I46" s="7" t="n">
        <v>50</v>
      </c>
      <c r="J46" s="7" t="n">
        <v>296</v>
      </c>
      <c r="K46" s="8">
        <f>IFERROR(G46/H46,"")</f>
        <v/>
      </c>
      <c r="L46" s="13">
        <f>IFERROR(J46/H46,"")</f>
        <v/>
      </c>
      <c r="M46" s="7" t="n">
        <v>50</v>
      </c>
      <c r="N46" s="19" t="n">
        <v>18.6</v>
      </c>
      <c r="O46" s="19" t="n">
        <v>134</v>
      </c>
      <c r="P46" s="7" t="n">
        <v>6</v>
      </c>
      <c r="Q46" s="5" t="inlineStr">
        <is>
          <t>2025-06-09</t>
        </is>
      </c>
      <c r="R46" s="5" t="inlineStr">
        <is>
          <t>2025-07-20</t>
        </is>
      </c>
      <c r="S46" s="5" t="inlineStr">
        <is>
          <t>드라마,코미디</t>
        </is>
      </c>
      <c r="T46" s="5" t="inlineStr">
        <is>
          <t>일본</t>
        </is>
      </c>
      <c r="U46" s="5" t="inlineStr">
        <is>
          <t>(주)디스테이션,스폰지</t>
        </is>
      </c>
    </row>
    <row r="47">
      <c r="A47" s="5" t="inlineStr">
        <is>
          <t>파라노이드 키드</t>
        </is>
      </c>
      <c r="B47" s="5" t="inlineStr">
        <is>
          <t>2025-06-11</t>
        </is>
      </c>
      <c r="C47" s="5" t="inlineStr"/>
      <c r="D47" s="5" t="inlineStr">
        <is>
          <t>재개봉/구작</t>
        </is>
      </c>
      <c r="E47" s="5" t="inlineStr">
        <is>
          <t>애니메이션</t>
        </is>
      </c>
      <c r="F47" s="5" t="inlineStr">
        <is>
          <t>종영</t>
        </is>
      </c>
      <c r="G47" s="7" t="n">
        <v>2098</v>
      </c>
      <c r="H47" s="7" t="n">
        <v>8418</v>
      </c>
      <c r="I47" s="7" t="n">
        <v>50</v>
      </c>
      <c r="J47" s="7" t="n">
        <v>296</v>
      </c>
      <c r="K47" s="8">
        <f>IFERROR(G47/H47,"")</f>
        <v/>
      </c>
      <c r="L47" s="13">
        <f>IFERROR(J47/H47,"")</f>
        <v/>
      </c>
      <c r="M47" s="7" t="n">
        <v>50</v>
      </c>
      <c r="N47" s="19" t="n">
        <v>18.6</v>
      </c>
      <c r="O47" s="19" t="n">
        <v>134</v>
      </c>
      <c r="P47" s="7" t="n">
        <v>6</v>
      </c>
      <c r="Q47" s="5" t="inlineStr">
        <is>
          <t>2025-06-09</t>
        </is>
      </c>
      <c r="R47" s="5" t="inlineStr">
        <is>
          <t>2025-07-20</t>
        </is>
      </c>
      <c r="S47" s="5" t="inlineStr">
        <is>
          <t>애니메이션</t>
        </is>
      </c>
      <c r="T47" s="5" t="inlineStr">
        <is>
          <t>한국</t>
        </is>
      </c>
      <c r="U47" s="5" t="inlineStr"/>
    </row>
    <row r="48">
      <c r="A48" s="5" t="inlineStr">
        <is>
          <t>지옥: 두개의 삶</t>
        </is>
      </c>
      <c r="B48" s="5" t="inlineStr">
        <is>
          <t>2025-09-17</t>
        </is>
      </c>
      <c r="C48" s="5" t="inlineStr"/>
      <c r="D48" s="5" t="inlineStr">
        <is>
          <t>재개봉/구작</t>
        </is>
      </c>
      <c r="E48" s="5" t="inlineStr">
        <is>
          <t>애니메이션</t>
        </is>
      </c>
      <c r="F48" s="5" t="inlineStr">
        <is>
          <t>종영</t>
        </is>
      </c>
      <c r="G48" s="7" t="n">
        <v>1860</v>
      </c>
      <c r="H48" s="7" t="n">
        <v>8610</v>
      </c>
      <c r="I48" s="7" t="n">
        <v>64</v>
      </c>
      <c r="J48" s="7" t="n">
        <v>341</v>
      </c>
      <c r="K48" s="8">
        <f>IFERROR(G48/H48,"")</f>
        <v/>
      </c>
      <c r="L48" s="13">
        <f>IFERROR(J48/H48,"")</f>
        <v/>
      </c>
      <c r="M48" s="7" t="n">
        <v>64</v>
      </c>
      <c r="N48" s="19" t="n">
        <v>26.5</v>
      </c>
      <c r="O48" s="19" t="n">
        <v>118</v>
      </c>
      <c r="P48" s="7" t="n">
        <v>5</v>
      </c>
      <c r="Q48" s="5" t="inlineStr">
        <is>
          <t>2025-09-15</t>
        </is>
      </c>
      <c r="R48" s="5" t="inlineStr">
        <is>
          <t>2025-10-19</t>
        </is>
      </c>
      <c r="S48" s="5" t="inlineStr">
        <is>
          <t>애니메이션,판타지,공포(호러)</t>
        </is>
      </c>
      <c r="T48" s="5" t="inlineStr">
        <is>
          <t>한국</t>
        </is>
      </c>
      <c r="U48" s="5" t="inlineStr">
        <is>
          <t>㈜인디스토리</t>
        </is>
      </c>
    </row>
    <row r="49">
      <c r="A49" s="5" t="inlineStr">
        <is>
          <t>톰보이</t>
        </is>
      </c>
      <c r="B49" s="5" t="inlineStr">
        <is>
          <t>2024-11-06</t>
        </is>
      </c>
      <c r="C49" s="5" t="inlineStr">
        <is>
          <t>2020-05-14</t>
        </is>
      </c>
      <c r="D49" s="5" t="inlineStr">
        <is>
          <t>재개봉/구작</t>
        </is>
      </c>
      <c r="E49" s="5" t="inlineStr">
        <is>
          <t>실사 외화</t>
        </is>
      </c>
      <c r="F49" s="5" t="inlineStr">
        <is>
          <t>종영</t>
        </is>
      </c>
      <c r="G49" s="7" t="n">
        <v>1629</v>
      </c>
      <c r="H49" s="7" t="n">
        <v>10037</v>
      </c>
      <c r="I49" s="7" t="n">
        <v>62</v>
      </c>
      <c r="J49" s="7" t="n">
        <v>187</v>
      </c>
      <c r="K49" s="8">
        <f>IFERROR(G49/H49,"")</f>
        <v/>
      </c>
      <c r="L49" s="13">
        <f>IFERROR(J49/H49,"")</f>
        <v/>
      </c>
      <c r="M49" s="7" t="n">
        <v>60</v>
      </c>
      <c r="N49" s="19" t="n">
        <v>18.5</v>
      </c>
      <c r="O49" s="19" t="n">
        <v>145</v>
      </c>
      <c r="P49" s="7" t="n">
        <v>4</v>
      </c>
      <c r="Q49" s="5" t="inlineStr">
        <is>
          <t>2024-11-04</t>
        </is>
      </c>
      <c r="R49" s="5" t="inlineStr">
        <is>
          <t>2024-12-01</t>
        </is>
      </c>
      <c r="S49" s="5" t="inlineStr">
        <is>
          <t>드라마</t>
        </is>
      </c>
      <c r="T49" s="5" t="inlineStr">
        <is>
          <t>프랑스</t>
        </is>
      </c>
      <c r="U49" s="5" t="inlineStr">
        <is>
          <t>(주)블루라벨픽쳐스,TCO(주)더콘텐츠온,(주)영화특별시에스엠씨</t>
        </is>
      </c>
    </row>
    <row r="50">
      <c r="A50" s="5" t="inlineStr">
        <is>
          <t>나나미 : 마지막 한방울까지 짜내는 무삭제</t>
        </is>
      </c>
      <c r="B50" s="5" t="inlineStr">
        <is>
          <t>2023-06-13</t>
        </is>
      </c>
      <c r="C50" s="5" t="inlineStr"/>
      <c r="D50" s="5" t="inlineStr">
        <is>
          <t>재개봉/구작</t>
        </is>
      </c>
      <c r="E50" s="5" t="inlineStr">
        <is>
          <t>실사 외화</t>
        </is>
      </c>
      <c r="F50" s="5" t="inlineStr">
        <is>
          <t>종영</t>
        </is>
      </c>
      <c r="G50" s="7" t="n">
        <v>220</v>
      </c>
      <c r="H50" s="7" t="n">
        <v>9224</v>
      </c>
      <c r="I50" s="7" t="n">
        <v>55</v>
      </c>
      <c r="J50" s="7" t="n">
        <v>220</v>
      </c>
      <c r="K50" s="8">
        <f>IFERROR(G50/H50,"")</f>
        <v/>
      </c>
      <c r="L50" s="13">
        <f>IFERROR(J50/H50,"")</f>
        <v/>
      </c>
      <c r="M50" s="7" t="n">
        <v>55</v>
      </c>
      <c r="N50" s="19" t="n">
        <v>55</v>
      </c>
      <c r="O50" s="19" t="n">
        <v>168</v>
      </c>
      <c r="P50" s="7" t="n">
        <v>1</v>
      </c>
      <c r="Q50" s="5" t="inlineStr">
        <is>
          <t>2023-06-12</t>
        </is>
      </c>
      <c r="R50" s="5" t="inlineStr">
        <is>
          <t>2023-06-18</t>
        </is>
      </c>
      <c r="S50" s="5" t="inlineStr">
        <is>
          <t>성인물(에로)</t>
        </is>
      </c>
      <c r="T50" s="5" t="inlineStr">
        <is>
          <t>일본</t>
        </is>
      </c>
      <c r="U50" s="5" t="inlineStr">
        <is>
          <t>(주)영화사 사계절</t>
        </is>
      </c>
    </row>
  </sheetData>
  <autoFilter ref="A2:U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0" customWidth="1" min="5" max="5"/>
    <col width="12" customWidth="1" min="6" max="6"/>
    <col width="11" customWidth="1" min="7" max="7"/>
    <col width="12" customWidth="1" min="8" max="8"/>
    <col width="12" customWidth="1" min="9" max="9"/>
    <col width="11" customWidth="1" min="10" max="10"/>
    <col width="12" customWidth="1" min="11" max="11"/>
    <col width="12" customWidth="1" min="12" max="12"/>
    <col width="13" customWidth="1" min="13" max="13"/>
    <col width="10" customWidth="1" min="14" max="14"/>
    <col width="11" customWidth="1" min="15" max="15"/>
    <col width="9" customWidth="1" min="16" max="16"/>
    <col width="12" customWidth="1" min="17" max="17"/>
    <col width="12" customWidth="1" min="18" max="18"/>
    <col width="24" customWidth="1" min="19" max="19"/>
    <col width="9" customWidth="1" min="20" max="20"/>
    <col width="26" customWidth="1" min="21" max="21"/>
  </cols>
  <sheetData>
    <row r="1">
      <c r="A1" s="17" t="inlineStr">
        <is>
          <t>※ 인 더 그레이(2026-09-02, 실사 외화, 메가박스 단독)의 최근접 comp = 실사 외화 × 메가 최대주간 150관 이상.</t>
        </is>
      </c>
    </row>
    <row r="2">
      <c r="A2" s="18" t="inlineStr">
        <is>
          <t>영화명</t>
        </is>
      </c>
      <c r="B2" s="18" t="inlineStr">
        <is>
          <t>개봉일</t>
        </is>
      </c>
      <c r="C2" s="18" t="inlineStr">
        <is>
          <t>원개봉일</t>
        </is>
      </c>
      <c r="D2" s="18" t="inlineStr">
        <is>
          <t>구분</t>
        </is>
      </c>
      <c r="E2" s="18" t="inlineStr">
        <is>
          <t>세그먼트</t>
        </is>
      </c>
      <c r="F2" s="18" t="inlineStr">
        <is>
          <t>상영상태</t>
        </is>
      </c>
      <c r="G2" s="18" t="inlineStr">
        <is>
          <t>누적관객</t>
        </is>
      </c>
      <c r="H2" s="18" t="inlineStr">
        <is>
          <t>개봉일좌석수</t>
        </is>
      </c>
      <c r="I2" s="18" t="inlineStr">
        <is>
          <t>개봉일스크린수</t>
        </is>
      </c>
      <c r="J2" s="18" t="inlineStr">
        <is>
          <t>개봉일관객수</t>
        </is>
      </c>
      <c r="K2" s="18" t="inlineStr">
        <is>
          <t>배수(누적÷개봉일좌석)</t>
        </is>
      </c>
      <c r="L2" s="18" t="inlineStr">
        <is>
          <t>개봉일 좌석판매율</t>
        </is>
      </c>
      <c r="M2" s="18" t="inlineStr">
        <is>
          <t>메가최대일간스크린</t>
        </is>
      </c>
      <c r="N2" s="18" t="inlineStr">
        <is>
          <t>평균스크린</t>
        </is>
      </c>
      <c r="O2" s="18" t="inlineStr">
        <is>
          <t>스크린당좌석</t>
        </is>
      </c>
      <c r="P2" s="18" t="inlineStr">
        <is>
          <t>상영주수</t>
        </is>
      </c>
      <c r="Q2" s="18" t="inlineStr">
        <is>
          <t>단독런시작</t>
        </is>
      </c>
      <c r="R2" s="18" t="inlineStr">
        <is>
          <t>단독런종료</t>
        </is>
      </c>
      <c r="S2" s="18" t="inlineStr">
        <is>
          <t>장르</t>
        </is>
      </c>
      <c r="T2" s="18" t="inlineStr">
        <is>
          <t>대표국적</t>
        </is>
      </c>
      <c r="U2" s="18" t="inlineStr">
        <is>
          <t>배급사</t>
        </is>
      </c>
    </row>
    <row r="3">
      <c r="A3" s="5" t="inlineStr">
        <is>
          <t>머티리얼리스트</t>
        </is>
      </c>
      <c r="B3" s="5" t="inlineStr">
        <is>
          <t>2025-08-08</t>
        </is>
      </c>
      <c r="C3" s="5" t="inlineStr">
        <is>
          <t>2025-08-08</t>
        </is>
      </c>
      <c r="D3" s="5" t="inlineStr">
        <is>
          <t>신작</t>
        </is>
      </c>
      <c r="E3" s="5" t="inlineStr">
        <is>
          <t>실사 외화</t>
        </is>
      </c>
      <c r="F3" s="5" t="inlineStr">
        <is>
          <t>종영</t>
        </is>
      </c>
      <c r="G3" s="7" t="n">
        <v>63767</v>
      </c>
      <c r="H3" s="7" t="n">
        <v>62670</v>
      </c>
      <c r="I3" s="7" t="n">
        <v>166</v>
      </c>
      <c r="J3" s="7" t="n">
        <v>7585</v>
      </c>
      <c r="K3" s="8">
        <f>IFERROR(G3/H3,"")</f>
        <v/>
      </c>
      <c r="L3" s="13">
        <f>IFERROR(J3/H3,"")</f>
        <v/>
      </c>
      <c r="M3" s="7" t="n">
        <v>157</v>
      </c>
      <c r="N3" s="19" t="n">
        <v>63.6</v>
      </c>
      <c r="O3" s="19" t="n">
        <v>213</v>
      </c>
      <c r="P3" s="7" t="n">
        <v>9</v>
      </c>
      <c r="Q3" s="5" t="inlineStr">
        <is>
          <t>2025-07-28</t>
        </is>
      </c>
      <c r="R3" s="5" t="inlineStr">
        <is>
          <t>2025-09-28</t>
        </is>
      </c>
      <c r="S3" s="5" t="inlineStr">
        <is>
          <t>멜로/로맨스,코미디</t>
        </is>
      </c>
      <c r="T3" s="5" t="inlineStr">
        <is>
          <t>미국</t>
        </is>
      </c>
      <c r="U3" s="5" t="inlineStr">
        <is>
          <t>소니픽쳐스엔터테인먼트코리아주식회사극장배급지점</t>
        </is>
      </c>
    </row>
    <row r="4">
      <c r="A4" s="5" t="inlineStr">
        <is>
          <t>첫 번째 키스</t>
        </is>
      </c>
      <c r="B4" s="5" t="inlineStr">
        <is>
          <t>2025-02-26</t>
        </is>
      </c>
      <c r="C4" s="5" t="inlineStr">
        <is>
          <t>2025-02-26</t>
        </is>
      </c>
      <c r="D4" s="5" t="inlineStr">
        <is>
          <t>신작</t>
        </is>
      </c>
      <c r="E4" s="5" t="inlineStr">
        <is>
          <t>실사 외화</t>
        </is>
      </c>
      <c r="F4" s="5" t="inlineStr">
        <is>
          <t>종영</t>
        </is>
      </c>
      <c r="G4" s="7" t="n">
        <v>49143</v>
      </c>
      <c r="H4" s="7" t="n">
        <v>61274</v>
      </c>
      <c r="I4" s="7" t="n">
        <v>184</v>
      </c>
      <c r="J4" s="7" t="n">
        <v>6199</v>
      </c>
      <c r="K4" s="8">
        <f>IFERROR(G4/H4,"")</f>
        <v/>
      </c>
      <c r="L4" s="13">
        <f>IFERROR(J4/H4,"")</f>
        <v/>
      </c>
      <c r="M4" s="7" t="n">
        <v>178</v>
      </c>
      <c r="N4" s="19" t="n">
        <v>64.2</v>
      </c>
      <c r="O4" s="19" t="n">
        <v>208</v>
      </c>
      <c r="P4" s="7" t="n">
        <v>8</v>
      </c>
      <c r="Q4" s="5" t="inlineStr">
        <is>
          <t>2025-02-24</t>
        </is>
      </c>
      <c r="R4" s="5" t="inlineStr">
        <is>
          <t>2025-04-20</t>
        </is>
      </c>
      <c r="S4" s="5" t="inlineStr">
        <is>
          <t>드라마,멜로/로맨스</t>
        </is>
      </c>
      <c r="T4" s="5" t="inlineStr">
        <is>
          <t>일본</t>
        </is>
      </c>
      <c r="U4" s="5" t="inlineStr">
        <is>
          <t>메가박스중앙(주)</t>
        </is>
      </c>
    </row>
    <row r="5">
      <c r="A5" s="5" t="inlineStr">
        <is>
          <t>워킹맨</t>
        </is>
      </c>
      <c r="B5" s="5" t="inlineStr">
        <is>
          <t>2025-10-01</t>
        </is>
      </c>
      <c r="C5" s="5" t="inlineStr">
        <is>
          <t>2025-10-01</t>
        </is>
      </c>
      <c r="D5" s="5" t="inlineStr">
        <is>
          <t>신작</t>
        </is>
      </c>
      <c r="E5" s="5" t="inlineStr">
        <is>
          <t>실사 외화</t>
        </is>
      </c>
      <c r="F5" s="5" t="inlineStr">
        <is>
          <t>종영</t>
        </is>
      </c>
      <c r="G5" s="7" t="n">
        <v>21014</v>
      </c>
      <c r="H5" s="7" t="n">
        <v>52983</v>
      </c>
      <c r="I5" s="7" t="n">
        <v>173</v>
      </c>
      <c r="J5" s="7" t="n">
        <v>4459</v>
      </c>
      <c r="K5" s="8">
        <f>IFERROR(G5/H5,"")</f>
        <v/>
      </c>
      <c r="L5" s="13">
        <f>IFERROR(J5/H5,"")</f>
        <v/>
      </c>
      <c r="M5" s="7" t="n">
        <v>172</v>
      </c>
      <c r="N5" s="19" t="n">
        <v>46.5</v>
      </c>
      <c r="O5" s="19" t="n">
        <v>181</v>
      </c>
      <c r="P5" s="7" t="n">
        <v>7</v>
      </c>
      <c r="Q5" s="5" t="inlineStr">
        <is>
          <t>2025-09-29</t>
        </is>
      </c>
      <c r="R5" s="5" t="inlineStr">
        <is>
          <t>2025-11-16</t>
        </is>
      </c>
      <c r="S5" s="5" t="inlineStr">
        <is>
          <t>액션,스릴러,범죄</t>
        </is>
      </c>
      <c r="T5" s="5" t="inlineStr">
        <is>
          <t>미국</t>
        </is>
      </c>
      <c r="U5" s="5" t="inlineStr">
        <is>
          <t>메가박스중앙(주),(주)스튜디오디에이치엘</t>
        </is>
      </c>
    </row>
    <row r="6">
      <c r="A6" s="5" t="inlineStr">
        <is>
          <t>크라임 101</t>
        </is>
      </c>
      <c r="B6" s="5" t="inlineStr">
        <is>
          <t>2026-04-08</t>
        </is>
      </c>
      <c r="C6" s="5" t="inlineStr">
        <is>
          <t>2026-04-08</t>
        </is>
      </c>
      <c r="D6" s="5" t="inlineStr">
        <is>
          <t>신작</t>
        </is>
      </c>
      <c r="E6" s="5" t="inlineStr">
        <is>
          <t>실사 외화</t>
        </is>
      </c>
      <c r="F6" s="5" t="inlineStr">
        <is>
          <t>종영</t>
        </is>
      </c>
      <c r="G6" s="7" t="n">
        <v>20138</v>
      </c>
      <c r="H6" s="7" t="n">
        <v>53148</v>
      </c>
      <c r="I6" s="7" t="n">
        <v>208</v>
      </c>
      <c r="J6" s="7" t="n">
        <v>3513</v>
      </c>
      <c r="K6" s="8">
        <f>IFERROR(G6/H6,"")</f>
        <v/>
      </c>
      <c r="L6" s="13">
        <f>IFERROR(J6/H6,"")</f>
        <v/>
      </c>
      <c r="M6" s="7" t="n">
        <v>171</v>
      </c>
      <c r="N6" s="19" t="n">
        <v>75.2</v>
      </c>
      <c r="O6" s="19" t="n">
        <v>210</v>
      </c>
      <c r="P6" s="7" t="n">
        <v>6</v>
      </c>
      <c r="Q6" s="5" t="inlineStr">
        <is>
          <t>2026-03-30</t>
        </is>
      </c>
      <c r="R6" s="5" t="inlineStr">
        <is>
          <t>2026-05-10</t>
        </is>
      </c>
      <c r="S6" s="5" t="inlineStr">
        <is>
          <t>범죄,드라마,스릴러</t>
        </is>
      </c>
      <c r="T6" s="5" t="inlineStr">
        <is>
          <t>미국</t>
        </is>
      </c>
      <c r="U6" s="5" t="inlineStr">
        <is>
          <t>소니픽쳐스엔터테인먼트코리아주식회사극장배급지점</t>
        </is>
      </c>
    </row>
    <row r="7">
      <c r="A7" s="5" t="inlineStr">
        <is>
          <t>더 로즈: 완벽한 이혼</t>
        </is>
      </c>
      <c r="B7" s="5" t="inlineStr">
        <is>
          <t>2025-09-17</t>
        </is>
      </c>
      <c r="C7" s="5" t="inlineStr">
        <is>
          <t>2025-09-17</t>
        </is>
      </c>
      <c r="D7" s="5" t="inlineStr">
        <is>
          <t>신작</t>
        </is>
      </c>
      <c r="E7" s="5" t="inlineStr">
        <is>
          <t>실사 외화</t>
        </is>
      </c>
      <c r="F7" s="5" t="inlineStr">
        <is>
          <t>종영</t>
        </is>
      </c>
      <c r="G7" s="7" t="n">
        <v>18670</v>
      </c>
      <c r="H7" s="7" t="n">
        <v>54406</v>
      </c>
      <c r="I7" s="7" t="n">
        <v>167</v>
      </c>
      <c r="J7" s="7" t="n">
        <v>3185</v>
      </c>
      <c r="K7" s="8">
        <f>IFERROR(G7/H7,"")</f>
        <v/>
      </c>
      <c r="L7" s="13">
        <f>IFERROR(J7/H7,"")</f>
        <v/>
      </c>
      <c r="M7" s="7" t="n">
        <v>152</v>
      </c>
      <c r="N7" s="19" t="n">
        <v>77</v>
      </c>
      <c r="O7" s="19" t="n">
        <v>208</v>
      </c>
      <c r="P7" s="7" t="n">
        <v>6</v>
      </c>
      <c r="Q7" s="5" t="inlineStr">
        <is>
          <t>2025-09-08</t>
        </is>
      </c>
      <c r="R7" s="5" t="inlineStr">
        <is>
          <t>2025-10-19</t>
        </is>
      </c>
      <c r="S7" s="5" t="inlineStr">
        <is>
          <t>코미디,드라마</t>
        </is>
      </c>
      <c r="T7" s="5" t="inlineStr">
        <is>
          <t>미국</t>
        </is>
      </c>
      <c r="U7" s="5" t="inlineStr">
        <is>
          <t>월트디즈니컴퍼니코리아 유한책임회사</t>
        </is>
      </c>
    </row>
    <row r="8">
      <c r="A8" s="20" t="inlineStr">
        <is>
          <t>워페어</t>
        </is>
      </c>
      <c r="B8" s="20" t="inlineStr">
        <is>
          <t>2026-08-19</t>
        </is>
      </c>
      <c r="C8" s="20" t="inlineStr">
        <is>
          <t>2026-08-19</t>
        </is>
      </c>
      <c r="D8" s="20" t="inlineStr">
        <is>
          <t>신작</t>
        </is>
      </c>
      <c r="E8" s="20" t="inlineStr">
        <is>
          <t>실사 외화</t>
        </is>
      </c>
      <c r="F8" s="20" t="inlineStr">
        <is>
          <t>상영중(잠정)</t>
        </is>
      </c>
      <c r="G8" s="21" t="n">
        <v>17119</v>
      </c>
      <c r="H8" s="21" t="n">
        <v>45012</v>
      </c>
      <c r="I8" s="21" t="n">
        <v>199</v>
      </c>
      <c r="J8" s="21" t="n">
        <v>3815</v>
      </c>
      <c r="K8" s="22">
        <f>IFERROR(G8/H8,"")</f>
        <v/>
      </c>
      <c r="L8" s="23">
        <f>IFERROR(J8/H8,"")</f>
        <v/>
      </c>
      <c r="M8" s="21" t="n">
        <v>188</v>
      </c>
      <c r="N8" s="24" t="n">
        <v>115.9</v>
      </c>
      <c r="O8" s="24" t="n">
        <v>176</v>
      </c>
      <c r="P8" s="21" t="n">
        <v>4</v>
      </c>
      <c r="Q8" s="20" t="inlineStr">
        <is>
          <t>2026-08-03</t>
        </is>
      </c>
      <c r="R8" s="20" t="inlineStr">
        <is>
          <t>2026-08-30</t>
        </is>
      </c>
      <c r="S8" s="20" t="inlineStr">
        <is>
          <t>액션,드라마,전쟁</t>
        </is>
      </c>
      <c r="T8" s="20" t="inlineStr">
        <is>
          <t>미국</t>
        </is>
      </c>
      <c r="U8" s="20" t="inlineStr">
        <is>
          <t>주식회사 올랄라스토리</t>
        </is>
      </c>
    </row>
  </sheetData>
  <autoFilter ref="A2:U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2026-08-27T05:06:51Z</dcterms:created>
  <dcterms:modified xmlns:dcterms="http://purl.org/dc/terms/" xmlns:xsi="http://www.w3.org/2001/XMLSchema-instance" xsi:type="dcterms:W3CDTF">2026-08-27T05:06:51Z</dcterms:modified>
</cp:coreProperties>
</file>